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/>
  <xr:revisionPtr revIDLastSave="0" documentId="8_{8BFFA9C5-C655-49D3-AEFC-F54F919C745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Tableau de bord" sheetId="1" r:id="rId1"/>
    <sheet name="DATA Février (clients affiliés)" sheetId="3" r:id="rId2"/>
    <sheet name="Tableau Client x Catégorie" sheetId="2" r:id="rId3"/>
    <sheet name="Feuil20" sheetId="29" r:id="rId4"/>
    <sheet name="Feuil23" sheetId="34" r:id="rId5"/>
  </sheets>
  <definedNames>
    <definedName name="_xlcn.WorksheetConnection_TableaudebordetudiantFévrier1version1.xlsxTable_11" hidden="1">Table_1[]</definedName>
    <definedName name="_xlcn.WorksheetConnection_TableaudebordetudiantFévrier1version1.xlsxTableau31" hidden="1">Tableau3</definedName>
    <definedName name="_xlcn.WorksheetConnection_TableauMdeMbordMMetudiantMFévrier1version1.xlsxTable_1TempsdachatMontant1" hidden="1">Table_1[[Temps d''achat]:[Montant]]</definedName>
    <definedName name="_xlcn.WorksheetConnection_TableauMdeMbordMMetudiantMFévrier1version1.xlsxTableau21" hidden="1">Tableau2[]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Tableau3" name="Tableau3" connection="WorksheetConnection_Tableau+de+bord+-+etudiant-+Février (1) (version 1).xlsx!Tableau3"/>
          <x15:modelTable id="Table_1" name="Table_1" connection="WorksheetConnection_Tableau+de+bord+-+etudiant-+Février (1) (version 1).xlsx!Table_1"/>
          <x15:modelTable id="Tableau2" name="Tableau2" connection="WorksheetConnection_Tableau^Mde^Mbord^M-^Metudiant-^MFévrier (1) (version 1).xlsx!Tableau2"/>
          <x15:modelTable id="Table_1  Temps d  achat   Montant" name="Table_1  Temps d  achat   Montant" connection="WorksheetConnection_Tableau^Mde^Mbord^M-^Metudiant-^MFévrier (1) (version 1).xlsx!Table_1[[Temps d''achat]:[Montant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15" i="1" s="1"/>
  <c r="G3" i="3"/>
  <c r="D16" i="1" s="1"/>
  <c r="H3" i="3"/>
  <c r="H2" i="3"/>
  <c r="C15" i="1" s="1"/>
  <c r="G5" i="3"/>
  <c r="H9" i="1" s="1"/>
  <c r="J9" i="1" s="1"/>
  <c r="G4" i="3"/>
  <c r="H8" i="1" s="1"/>
  <c r="C16" i="1"/>
  <c r="J10" i="1"/>
  <c r="J8" i="1" l="1"/>
  <c r="J11" i="1" s="1"/>
  <c r="H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1272A-E529-41EA-8254-687C7E98A094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ACFB67-0F47-4882-9AF9-3FA363231993}" name="WorksheetConnection_Tableau^Mde^Mbord^M-^Metudiant-^MFévrier (1) (version 1).xlsx!Table_1[[Temps d''achat]:[Montant]]" type="102" refreshedVersion="8" minRefreshableVersion="5">
    <extLst>
      <ext xmlns:x15="http://schemas.microsoft.com/office/spreadsheetml/2010/11/main" uri="{DE250136-89BD-433C-8126-D09CA5730AF9}">
        <x15:connection id="Table_1  Temps d  achat   Montant" autoDelete="1">
          <x15:rangePr sourceName="_xlcn.WorksheetConnection_TableauMdeMbordMMetudiantMFévrier1version1.xlsxTable_1TempsdachatMontant1"/>
        </x15:connection>
      </ext>
    </extLst>
  </connection>
  <connection id="3" xr16:uid="{9F5EEE9C-5CF8-471D-81E4-D82479F17E64}" name="WorksheetConnection_Tableau^Mde^Mbord^M-^Metudiant-^MFévrier (1) (version 1).xlsx!Tableau2" type="102" refreshedVersion="8" minRefreshableVersion="5">
    <extLst>
      <ext xmlns:x15="http://schemas.microsoft.com/office/spreadsheetml/2010/11/main" uri="{DE250136-89BD-433C-8126-D09CA5730AF9}">
        <x15:connection id="Tableau2">
          <x15:rangePr sourceName="_xlcn.WorksheetConnection_TableauMdeMbordMMetudiantMFévrier1version1.xlsxTableau21"/>
        </x15:connection>
      </ext>
    </extLst>
  </connection>
  <connection id="4" xr16:uid="{88D60ADA-0FA4-4502-9A88-6C13F5108B87}" name="WorksheetConnection_Tableau+de+bord+-+etudiant-+Février (1) (version 1)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TableaudebordetudiantFévrier1version1.xlsxTable_11"/>
        </x15:connection>
      </ext>
    </extLst>
  </connection>
  <connection id="5" xr16:uid="{5C9FAF10-B9EB-4B20-B531-A889061E7C69}" name="WorksheetConnection_Tableau+de+bord+-+etudiant-+Février (1) (version 1).xlsx!Tableau3" type="102" refreshedVersion="8" minRefreshableVersion="5">
    <extLst>
      <ext xmlns:x15="http://schemas.microsoft.com/office/spreadsheetml/2010/11/main" uri="{DE250136-89BD-433C-8126-D09CA5730AF9}">
        <x15:connection id="Tableau3" autoDelete="1">
          <x15:rangePr sourceName="_xlcn.WorksheetConnection_TableaudebordetudiantFévrier1version1.xlsxTableau31"/>
        </x15:connection>
      </ext>
    </extLst>
  </connection>
</connections>
</file>

<file path=xl/sharedStrings.xml><?xml version="1.0" encoding="utf-8"?>
<sst xmlns="http://schemas.openxmlformats.org/spreadsheetml/2006/main" count="855" uniqueCount="47">
  <si>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</si>
  <si>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</si>
  <si>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</si>
  <si>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</si>
  <si>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</si>
  <si>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</si>
  <si>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</si>
  <si>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</si>
  <si>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</si>
  <si>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</si>
  <si>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</si>
  <si>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</si>
  <si>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</si>
  <si>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</si>
  <si>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</si>
  <si>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</si>
  <si>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</si>
  <si>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</si>
  <si>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</si>
  <si>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</si>
  <si>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</si>
  <si>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</si>
  <si>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</si>
  <si>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</si>
  <si>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</si>
  <si>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</si>
  <si>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</si>
  <si>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nb cellules</t>
  </si>
  <si>
    <t>&lt;4</t>
  </si>
  <si>
    <t>Colonne1</t>
  </si>
  <si>
    <t xml:space="preserve">Biens de conso </t>
  </si>
  <si>
    <t xml:space="preserve">Nourriture </t>
  </si>
  <si>
    <t>Somme</t>
  </si>
  <si>
    <t>Étiquettes de colonnes</t>
  </si>
  <si>
    <t>Total général</t>
  </si>
  <si>
    <t>Étiquettes de lignes</t>
  </si>
  <si>
    <t>Somme de Montant</t>
  </si>
  <si>
    <t>Somme de Temps d'achat</t>
  </si>
  <si>
    <t>(Tous)</t>
  </si>
  <si>
    <t>Total Somme de Montant</t>
  </si>
  <si>
    <t>ID Client</t>
  </si>
  <si>
    <t>Nombre d'achats</t>
  </si>
  <si>
    <t>Total Nombre d'achats</t>
  </si>
  <si>
    <t>Somme de bien de conso.</t>
  </si>
  <si>
    <t>Somme de nourriture</t>
  </si>
  <si>
    <t>Somme de Total général</t>
  </si>
  <si>
    <t>&gt;9,50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</si>
</sst>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#,##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4" tint="0.79998168889431442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8" fillId="5" borderId="10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11" fillId="4" borderId="20" xfId="0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0" fontId="1" fillId="0" borderId="0" xfId="0" applyFont="1"/>
    <xf numFmtId="0" fontId="15" fillId="0" borderId="0" xfId="0" applyFont="1" applyAlignment="1">
      <alignment horizontal="center" vertical="center"/>
    </xf>
    <xf numFmtId="165" fontId="0" fillId="0" borderId="0" xfId="1" applyNumberFormat="1" applyFont="1"/>
    <xf numFmtId="164" fontId="8" fillId="2" borderId="22" xfId="0" applyNumberFormat="1" applyFont="1" applyFill="1" applyBorder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 vertical="center"/>
    </xf>
    <xf numFmtId="164" fontId="8" fillId="2" borderId="25" xfId="0" applyNumberFormat="1" applyFont="1" applyFill="1" applyBorder="1" applyAlignment="1">
      <alignment horizontal="center" vertical="center"/>
    </xf>
    <xf numFmtId="164" fontId="6" fillId="4" borderId="27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64" fontId="6" fillId="4" borderId="32" xfId="0" applyNumberFormat="1" applyFont="1" applyFill="1" applyBorder="1" applyAlignment="1">
      <alignment horizontal="center" vertical="center"/>
    </xf>
    <xf numFmtId="164" fontId="8" fillId="2" borderId="33" xfId="0" applyNumberFormat="1" applyFont="1" applyFill="1" applyBorder="1" applyAlignment="1">
      <alignment horizontal="center" vertical="center"/>
    </xf>
    <xf numFmtId="164" fontId="8" fillId="2" borderId="34" xfId="0" applyNumberFormat="1" applyFont="1" applyFill="1" applyBorder="1" applyAlignment="1">
      <alignment horizontal="center" vertical="center"/>
    </xf>
    <xf numFmtId="164" fontId="8" fillId="2" borderId="35" xfId="0" applyNumberFormat="1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164" fontId="8" fillId="5" borderId="37" xfId="0" applyNumberFormat="1" applyFont="1" applyFill="1" applyBorder="1" applyAlignment="1">
      <alignment horizontal="center" vertical="center"/>
    </xf>
    <xf numFmtId="164" fontId="8" fillId="2" borderId="38" xfId="0" applyNumberFormat="1" applyFont="1" applyFill="1" applyBorder="1" applyAlignment="1">
      <alignment horizontal="center" vertical="center"/>
    </xf>
    <xf numFmtId="164" fontId="8" fillId="2" borderId="39" xfId="0" applyNumberFormat="1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164" fontId="8" fillId="2" borderId="41" xfId="0" applyNumberFormat="1" applyFont="1" applyFill="1" applyBorder="1" applyAlignment="1">
      <alignment horizontal="center" vertical="center"/>
    </xf>
    <xf numFmtId="164" fontId="8" fillId="6" borderId="24" xfId="0" applyNumberFormat="1" applyFont="1" applyFill="1" applyBorder="1" applyAlignment="1">
      <alignment horizontal="center" vertical="center"/>
    </xf>
    <xf numFmtId="164" fontId="11" fillId="4" borderId="9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164" fontId="8" fillId="2" borderId="47" xfId="0" applyNumberFormat="1" applyFont="1" applyFill="1" applyBorder="1" applyAlignment="1">
      <alignment horizontal="center" vertical="center"/>
    </xf>
    <xf numFmtId="164" fontId="8" fillId="6" borderId="48" xfId="0" applyNumberFormat="1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4" fillId="7" borderId="51" xfId="0" applyFont="1" applyFill="1" applyBorder="1"/>
    <xf numFmtId="0" fontId="8" fillId="2" borderId="5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2" fontId="0" fillId="0" borderId="0" xfId="0" applyNumberFormat="1"/>
    <xf numFmtId="4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0" fillId="0" borderId="0" xfId="1" applyNumberFormat="1" applyFont="1"/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31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26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9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42" xfId="0" applyFont="1" applyBorder="1"/>
    <xf numFmtId="0" fontId="11" fillId="4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11"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10"/>
      <tableStyleElement type="total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'DATA Février (clients affiliés)'!$B$2:$B$661</c:f>
              <c:numCache>
                <c:formatCode>0.00</c:formatCode>
                <c:ptCount val="66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2.1</c:v>
                </c:pt>
                <c:pt idx="12">
                  <c:v>2.1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2.4</c:v>
                </c:pt>
                <c:pt idx="17">
                  <c:v>2.4</c:v>
                </c:pt>
                <c:pt idx="18">
                  <c:v>2.5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2.67</c:v>
                </c:pt>
                <c:pt idx="23">
                  <c:v>2.7</c:v>
                </c:pt>
                <c:pt idx="24">
                  <c:v>2.8</c:v>
                </c:pt>
                <c:pt idx="25">
                  <c:v>2.8</c:v>
                </c:pt>
                <c:pt idx="26">
                  <c:v>2.9</c:v>
                </c:pt>
                <c:pt idx="27">
                  <c:v>2.9</c:v>
                </c:pt>
                <c:pt idx="28">
                  <c:v>3</c:v>
                </c:pt>
                <c:pt idx="29">
                  <c:v>3</c:v>
                </c:pt>
                <c:pt idx="30">
                  <c:v>3.2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3.3</c:v>
                </c:pt>
                <c:pt idx="35">
                  <c:v>3.5</c:v>
                </c:pt>
                <c:pt idx="36">
                  <c:v>3.5</c:v>
                </c:pt>
                <c:pt idx="37">
                  <c:v>3.6</c:v>
                </c:pt>
                <c:pt idx="38">
                  <c:v>3.6</c:v>
                </c:pt>
                <c:pt idx="39">
                  <c:v>3.7</c:v>
                </c:pt>
                <c:pt idx="40">
                  <c:v>3.7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4.0199999999999996</c:v>
                </c:pt>
                <c:pt idx="53">
                  <c:v>4.03</c:v>
                </c:pt>
                <c:pt idx="54">
                  <c:v>4.03</c:v>
                </c:pt>
                <c:pt idx="55">
                  <c:v>4.04</c:v>
                </c:pt>
                <c:pt idx="56">
                  <c:v>4.05</c:v>
                </c:pt>
                <c:pt idx="57">
                  <c:v>4.0599999999999996</c:v>
                </c:pt>
                <c:pt idx="58">
                  <c:v>4.08</c:v>
                </c:pt>
                <c:pt idx="59">
                  <c:v>4.1100000000000003</c:v>
                </c:pt>
                <c:pt idx="60">
                  <c:v>4.12</c:v>
                </c:pt>
                <c:pt idx="61">
                  <c:v>4.13</c:v>
                </c:pt>
                <c:pt idx="62">
                  <c:v>4.1399999999999997</c:v>
                </c:pt>
                <c:pt idx="63">
                  <c:v>4.1399999999999997</c:v>
                </c:pt>
                <c:pt idx="64">
                  <c:v>4.1399999999999997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4.1500000000000004</c:v>
                </c:pt>
                <c:pt idx="68">
                  <c:v>4.1500000000000004</c:v>
                </c:pt>
                <c:pt idx="69">
                  <c:v>4.17</c:v>
                </c:pt>
                <c:pt idx="70">
                  <c:v>4.17</c:v>
                </c:pt>
                <c:pt idx="71">
                  <c:v>4.18</c:v>
                </c:pt>
                <c:pt idx="72">
                  <c:v>4.2</c:v>
                </c:pt>
                <c:pt idx="73">
                  <c:v>4.22</c:v>
                </c:pt>
                <c:pt idx="74">
                  <c:v>4.24</c:v>
                </c:pt>
                <c:pt idx="75">
                  <c:v>4.24</c:v>
                </c:pt>
                <c:pt idx="76">
                  <c:v>4.26</c:v>
                </c:pt>
                <c:pt idx="77">
                  <c:v>4.28</c:v>
                </c:pt>
                <c:pt idx="78">
                  <c:v>4.3</c:v>
                </c:pt>
                <c:pt idx="79">
                  <c:v>4.3</c:v>
                </c:pt>
                <c:pt idx="80">
                  <c:v>4.3099999999999996</c:v>
                </c:pt>
                <c:pt idx="81">
                  <c:v>4.32</c:v>
                </c:pt>
                <c:pt idx="82">
                  <c:v>4.32</c:v>
                </c:pt>
                <c:pt idx="83">
                  <c:v>4.34</c:v>
                </c:pt>
                <c:pt idx="84">
                  <c:v>4.34</c:v>
                </c:pt>
                <c:pt idx="85">
                  <c:v>4.37</c:v>
                </c:pt>
                <c:pt idx="86">
                  <c:v>4.38</c:v>
                </c:pt>
                <c:pt idx="87">
                  <c:v>4.3899999999999997</c:v>
                </c:pt>
                <c:pt idx="88">
                  <c:v>4.3899999999999997</c:v>
                </c:pt>
                <c:pt idx="89">
                  <c:v>4.4400000000000004</c:v>
                </c:pt>
                <c:pt idx="90">
                  <c:v>4.4400000000000004</c:v>
                </c:pt>
                <c:pt idx="91">
                  <c:v>4.4400000000000004</c:v>
                </c:pt>
                <c:pt idx="92">
                  <c:v>4.46</c:v>
                </c:pt>
                <c:pt idx="93">
                  <c:v>4.46</c:v>
                </c:pt>
                <c:pt idx="94">
                  <c:v>4.4800000000000004</c:v>
                </c:pt>
                <c:pt idx="95">
                  <c:v>4.5</c:v>
                </c:pt>
                <c:pt idx="96">
                  <c:v>4.5199999999999996</c:v>
                </c:pt>
                <c:pt idx="97">
                  <c:v>4.54</c:v>
                </c:pt>
                <c:pt idx="98">
                  <c:v>4.54</c:v>
                </c:pt>
                <c:pt idx="99">
                  <c:v>4.55</c:v>
                </c:pt>
                <c:pt idx="100">
                  <c:v>4.5599999999999996</c:v>
                </c:pt>
                <c:pt idx="101">
                  <c:v>4.57</c:v>
                </c:pt>
                <c:pt idx="102">
                  <c:v>4.57</c:v>
                </c:pt>
                <c:pt idx="103">
                  <c:v>4.59</c:v>
                </c:pt>
                <c:pt idx="104">
                  <c:v>4.6100000000000003</c:v>
                </c:pt>
                <c:pt idx="105">
                  <c:v>4.62</c:v>
                </c:pt>
                <c:pt idx="106">
                  <c:v>4.62</c:v>
                </c:pt>
                <c:pt idx="107">
                  <c:v>4.6399999999999997</c:v>
                </c:pt>
                <c:pt idx="108">
                  <c:v>4.6399999999999997</c:v>
                </c:pt>
                <c:pt idx="109">
                  <c:v>4.6500000000000004</c:v>
                </c:pt>
                <c:pt idx="110">
                  <c:v>4.66</c:v>
                </c:pt>
                <c:pt idx="111">
                  <c:v>4.66</c:v>
                </c:pt>
                <c:pt idx="112">
                  <c:v>4.67</c:v>
                </c:pt>
                <c:pt idx="113">
                  <c:v>4.68</c:v>
                </c:pt>
                <c:pt idx="114">
                  <c:v>4.68</c:v>
                </c:pt>
                <c:pt idx="115">
                  <c:v>4.68</c:v>
                </c:pt>
                <c:pt idx="116">
                  <c:v>4.6900000000000004</c:v>
                </c:pt>
                <c:pt idx="117">
                  <c:v>4.6900000000000004</c:v>
                </c:pt>
                <c:pt idx="118">
                  <c:v>4.7</c:v>
                </c:pt>
                <c:pt idx="119">
                  <c:v>4.75</c:v>
                </c:pt>
                <c:pt idx="120">
                  <c:v>4.76</c:v>
                </c:pt>
                <c:pt idx="121">
                  <c:v>4.7699999999999996</c:v>
                </c:pt>
                <c:pt idx="122">
                  <c:v>4.78</c:v>
                </c:pt>
                <c:pt idx="123">
                  <c:v>4.78</c:v>
                </c:pt>
                <c:pt idx="124">
                  <c:v>4.78</c:v>
                </c:pt>
                <c:pt idx="125">
                  <c:v>4.8</c:v>
                </c:pt>
                <c:pt idx="126">
                  <c:v>4.83</c:v>
                </c:pt>
                <c:pt idx="127">
                  <c:v>4.84</c:v>
                </c:pt>
                <c:pt idx="128">
                  <c:v>4.84</c:v>
                </c:pt>
                <c:pt idx="129">
                  <c:v>4.8499999999999996</c:v>
                </c:pt>
                <c:pt idx="130">
                  <c:v>4.87</c:v>
                </c:pt>
                <c:pt idx="131">
                  <c:v>4.88</c:v>
                </c:pt>
                <c:pt idx="132">
                  <c:v>4.88</c:v>
                </c:pt>
                <c:pt idx="133">
                  <c:v>4.92</c:v>
                </c:pt>
                <c:pt idx="134">
                  <c:v>4.93</c:v>
                </c:pt>
                <c:pt idx="135">
                  <c:v>4.93</c:v>
                </c:pt>
                <c:pt idx="136">
                  <c:v>4.96</c:v>
                </c:pt>
                <c:pt idx="137">
                  <c:v>4.96</c:v>
                </c:pt>
                <c:pt idx="138">
                  <c:v>4.99</c:v>
                </c:pt>
                <c:pt idx="139">
                  <c:v>5.03</c:v>
                </c:pt>
                <c:pt idx="140">
                  <c:v>5.03</c:v>
                </c:pt>
                <c:pt idx="141">
                  <c:v>5.05</c:v>
                </c:pt>
                <c:pt idx="142">
                  <c:v>5.05</c:v>
                </c:pt>
                <c:pt idx="143">
                  <c:v>5.05</c:v>
                </c:pt>
                <c:pt idx="144">
                  <c:v>5.0599999999999996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5.12</c:v>
                </c:pt>
                <c:pt idx="150">
                  <c:v>5.14</c:v>
                </c:pt>
                <c:pt idx="151">
                  <c:v>5.15</c:v>
                </c:pt>
                <c:pt idx="152">
                  <c:v>5.15</c:v>
                </c:pt>
                <c:pt idx="153">
                  <c:v>5.15</c:v>
                </c:pt>
                <c:pt idx="154">
                  <c:v>5.18</c:v>
                </c:pt>
                <c:pt idx="155">
                  <c:v>5.2</c:v>
                </c:pt>
                <c:pt idx="156">
                  <c:v>5.2</c:v>
                </c:pt>
                <c:pt idx="157">
                  <c:v>5.21</c:v>
                </c:pt>
                <c:pt idx="158">
                  <c:v>5.22</c:v>
                </c:pt>
                <c:pt idx="159">
                  <c:v>5.22</c:v>
                </c:pt>
                <c:pt idx="160">
                  <c:v>5.23</c:v>
                </c:pt>
                <c:pt idx="161">
                  <c:v>5.24</c:v>
                </c:pt>
                <c:pt idx="162">
                  <c:v>5.25</c:v>
                </c:pt>
                <c:pt idx="163">
                  <c:v>5.29</c:v>
                </c:pt>
                <c:pt idx="164">
                  <c:v>5.3</c:v>
                </c:pt>
                <c:pt idx="165">
                  <c:v>5.31</c:v>
                </c:pt>
                <c:pt idx="166">
                  <c:v>5.34</c:v>
                </c:pt>
                <c:pt idx="167">
                  <c:v>5.34</c:v>
                </c:pt>
                <c:pt idx="168">
                  <c:v>5.35</c:v>
                </c:pt>
                <c:pt idx="169">
                  <c:v>5.35</c:v>
                </c:pt>
                <c:pt idx="170">
                  <c:v>5.36</c:v>
                </c:pt>
                <c:pt idx="171">
                  <c:v>5.36</c:v>
                </c:pt>
                <c:pt idx="172">
                  <c:v>5.38</c:v>
                </c:pt>
                <c:pt idx="173">
                  <c:v>5.38</c:v>
                </c:pt>
                <c:pt idx="174">
                  <c:v>5.39</c:v>
                </c:pt>
                <c:pt idx="175">
                  <c:v>5.41</c:v>
                </c:pt>
                <c:pt idx="176">
                  <c:v>5.42</c:v>
                </c:pt>
                <c:pt idx="177">
                  <c:v>5.43</c:v>
                </c:pt>
                <c:pt idx="178">
                  <c:v>5.44</c:v>
                </c:pt>
                <c:pt idx="179">
                  <c:v>5.45</c:v>
                </c:pt>
                <c:pt idx="180">
                  <c:v>5.45</c:v>
                </c:pt>
                <c:pt idx="181">
                  <c:v>5.46</c:v>
                </c:pt>
                <c:pt idx="182">
                  <c:v>5.46</c:v>
                </c:pt>
                <c:pt idx="183">
                  <c:v>5.47</c:v>
                </c:pt>
                <c:pt idx="184">
                  <c:v>5.47</c:v>
                </c:pt>
                <c:pt idx="185">
                  <c:v>5.47</c:v>
                </c:pt>
                <c:pt idx="186">
                  <c:v>5.48</c:v>
                </c:pt>
                <c:pt idx="187">
                  <c:v>5.5</c:v>
                </c:pt>
                <c:pt idx="188">
                  <c:v>5.5</c:v>
                </c:pt>
                <c:pt idx="189">
                  <c:v>5.53</c:v>
                </c:pt>
                <c:pt idx="190">
                  <c:v>5.56</c:v>
                </c:pt>
                <c:pt idx="191">
                  <c:v>5.58</c:v>
                </c:pt>
                <c:pt idx="192">
                  <c:v>5.58</c:v>
                </c:pt>
                <c:pt idx="193">
                  <c:v>5.58</c:v>
                </c:pt>
                <c:pt idx="194">
                  <c:v>5.59</c:v>
                </c:pt>
                <c:pt idx="195">
                  <c:v>5.59</c:v>
                </c:pt>
                <c:pt idx="196">
                  <c:v>5.61</c:v>
                </c:pt>
                <c:pt idx="197">
                  <c:v>5.61</c:v>
                </c:pt>
                <c:pt idx="198">
                  <c:v>5.61</c:v>
                </c:pt>
                <c:pt idx="199">
                  <c:v>5.61</c:v>
                </c:pt>
                <c:pt idx="200">
                  <c:v>5.63</c:v>
                </c:pt>
                <c:pt idx="201">
                  <c:v>5.64</c:v>
                </c:pt>
                <c:pt idx="202">
                  <c:v>5.65</c:v>
                </c:pt>
                <c:pt idx="203">
                  <c:v>5.65</c:v>
                </c:pt>
                <c:pt idx="204">
                  <c:v>5.66</c:v>
                </c:pt>
                <c:pt idx="205">
                  <c:v>5.66</c:v>
                </c:pt>
                <c:pt idx="206">
                  <c:v>5.67</c:v>
                </c:pt>
                <c:pt idx="207">
                  <c:v>5.67</c:v>
                </c:pt>
                <c:pt idx="208">
                  <c:v>5.67</c:v>
                </c:pt>
                <c:pt idx="209">
                  <c:v>5.68</c:v>
                </c:pt>
                <c:pt idx="210">
                  <c:v>5.7</c:v>
                </c:pt>
                <c:pt idx="211">
                  <c:v>5.73</c:v>
                </c:pt>
                <c:pt idx="212">
                  <c:v>5.74</c:v>
                </c:pt>
                <c:pt idx="213">
                  <c:v>5.76</c:v>
                </c:pt>
                <c:pt idx="214">
                  <c:v>5.77</c:v>
                </c:pt>
                <c:pt idx="215">
                  <c:v>5.78</c:v>
                </c:pt>
                <c:pt idx="216">
                  <c:v>5.79</c:v>
                </c:pt>
                <c:pt idx="217">
                  <c:v>5.79</c:v>
                </c:pt>
                <c:pt idx="218">
                  <c:v>5.83</c:v>
                </c:pt>
                <c:pt idx="219">
                  <c:v>5.84</c:v>
                </c:pt>
                <c:pt idx="220">
                  <c:v>5.85</c:v>
                </c:pt>
                <c:pt idx="221">
                  <c:v>5.86</c:v>
                </c:pt>
                <c:pt idx="222">
                  <c:v>5.86</c:v>
                </c:pt>
                <c:pt idx="223">
                  <c:v>5.87</c:v>
                </c:pt>
                <c:pt idx="224">
                  <c:v>5.88</c:v>
                </c:pt>
                <c:pt idx="225">
                  <c:v>5.88</c:v>
                </c:pt>
                <c:pt idx="226">
                  <c:v>5.91</c:v>
                </c:pt>
                <c:pt idx="227">
                  <c:v>5.91</c:v>
                </c:pt>
                <c:pt idx="228">
                  <c:v>5.93</c:v>
                </c:pt>
                <c:pt idx="229">
                  <c:v>5.93</c:v>
                </c:pt>
                <c:pt idx="230">
                  <c:v>5.93</c:v>
                </c:pt>
                <c:pt idx="231">
                  <c:v>5.94</c:v>
                </c:pt>
                <c:pt idx="232">
                  <c:v>5.96</c:v>
                </c:pt>
                <c:pt idx="233">
                  <c:v>5.96</c:v>
                </c:pt>
                <c:pt idx="234">
                  <c:v>5.96</c:v>
                </c:pt>
                <c:pt idx="235">
                  <c:v>5.97</c:v>
                </c:pt>
                <c:pt idx="236">
                  <c:v>5.98</c:v>
                </c:pt>
                <c:pt idx="237">
                  <c:v>5.99</c:v>
                </c:pt>
                <c:pt idx="238">
                  <c:v>6.02</c:v>
                </c:pt>
                <c:pt idx="239">
                  <c:v>6.03</c:v>
                </c:pt>
                <c:pt idx="240">
                  <c:v>6.05</c:v>
                </c:pt>
                <c:pt idx="241">
                  <c:v>6.06</c:v>
                </c:pt>
                <c:pt idx="242">
                  <c:v>6.06</c:v>
                </c:pt>
                <c:pt idx="243">
                  <c:v>6.06</c:v>
                </c:pt>
                <c:pt idx="244">
                  <c:v>6.09</c:v>
                </c:pt>
                <c:pt idx="245">
                  <c:v>6.09</c:v>
                </c:pt>
                <c:pt idx="246">
                  <c:v>6.12</c:v>
                </c:pt>
                <c:pt idx="247">
                  <c:v>6.15</c:v>
                </c:pt>
                <c:pt idx="248">
                  <c:v>6.16</c:v>
                </c:pt>
                <c:pt idx="249">
                  <c:v>6.16</c:v>
                </c:pt>
                <c:pt idx="250">
                  <c:v>6.16</c:v>
                </c:pt>
                <c:pt idx="251">
                  <c:v>6.17</c:v>
                </c:pt>
                <c:pt idx="252">
                  <c:v>6.18</c:v>
                </c:pt>
                <c:pt idx="253">
                  <c:v>6.21</c:v>
                </c:pt>
                <c:pt idx="254">
                  <c:v>6.22</c:v>
                </c:pt>
                <c:pt idx="255">
                  <c:v>6.22</c:v>
                </c:pt>
                <c:pt idx="256">
                  <c:v>6.23</c:v>
                </c:pt>
                <c:pt idx="257">
                  <c:v>6.23</c:v>
                </c:pt>
                <c:pt idx="258">
                  <c:v>6.23</c:v>
                </c:pt>
                <c:pt idx="259">
                  <c:v>6.24</c:v>
                </c:pt>
                <c:pt idx="260">
                  <c:v>6.25</c:v>
                </c:pt>
                <c:pt idx="261">
                  <c:v>6.25</c:v>
                </c:pt>
                <c:pt idx="262">
                  <c:v>6.27</c:v>
                </c:pt>
                <c:pt idx="263">
                  <c:v>6.27</c:v>
                </c:pt>
                <c:pt idx="264">
                  <c:v>6.28</c:v>
                </c:pt>
                <c:pt idx="265">
                  <c:v>6.28</c:v>
                </c:pt>
                <c:pt idx="266">
                  <c:v>6.31</c:v>
                </c:pt>
                <c:pt idx="267">
                  <c:v>6.32</c:v>
                </c:pt>
                <c:pt idx="268">
                  <c:v>6.33</c:v>
                </c:pt>
                <c:pt idx="269">
                  <c:v>6.33</c:v>
                </c:pt>
                <c:pt idx="270">
                  <c:v>6.34</c:v>
                </c:pt>
                <c:pt idx="271">
                  <c:v>6.34</c:v>
                </c:pt>
                <c:pt idx="272">
                  <c:v>6.36</c:v>
                </c:pt>
                <c:pt idx="273">
                  <c:v>6.38</c:v>
                </c:pt>
                <c:pt idx="274">
                  <c:v>6.41</c:v>
                </c:pt>
                <c:pt idx="275">
                  <c:v>6.41</c:v>
                </c:pt>
                <c:pt idx="276">
                  <c:v>6.43</c:v>
                </c:pt>
                <c:pt idx="277">
                  <c:v>6.44</c:v>
                </c:pt>
                <c:pt idx="278">
                  <c:v>6.45</c:v>
                </c:pt>
                <c:pt idx="279">
                  <c:v>6.46</c:v>
                </c:pt>
                <c:pt idx="280">
                  <c:v>6.46</c:v>
                </c:pt>
                <c:pt idx="281">
                  <c:v>6.47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6.54</c:v>
                </c:pt>
                <c:pt idx="287">
                  <c:v>6.55</c:v>
                </c:pt>
                <c:pt idx="288">
                  <c:v>6.56</c:v>
                </c:pt>
                <c:pt idx="289">
                  <c:v>6.57</c:v>
                </c:pt>
                <c:pt idx="290">
                  <c:v>6.59</c:v>
                </c:pt>
                <c:pt idx="291">
                  <c:v>6.63</c:v>
                </c:pt>
                <c:pt idx="292">
                  <c:v>6.63</c:v>
                </c:pt>
                <c:pt idx="293">
                  <c:v>6.63</c:v>
                </c:pt>
                <c:pt idx="294">
                  <c:v>6.64</c:v>
                </c:pt>
                <c:pt idx="295">
                  <c:v>6.64</c:v>
                </c:pt>
                <c:pt idx="296">
                  <c:v>6.65</c:v>
                </c:pt>
                <c:pt idx="297">
                  <c:v>6.65</c:v>
                </c:pt>
                <c:pt idx="298">
                  <c:v>6.65</c:v>
                </c:pt>
                <c:pt idx="299">
                  <c:v>6.66</c:v>
                </c:pt>
                <c:pt idx="300">
                  <c:v>6.67</c:v>
                </c:pt>
                <c:pt idx="301">
                  <c:v>6.68</c:v>
                </c:pt>
                <c:pt idx="302">
                  <c:v>6.68</c:v>
                </c:pt>
                <c:pt idx="303">
                  <c:v>6.69</c:v>
                </c:pt>
                <c:pt idx="304">
                  <c:v>6.69</c:v>
                </c:pt>
                <c:pt idx="305">
                  <c:v>6.7</c:v>
                </c:pt>
                <c:pt idx="306">
                  <c:v>6.71</c:v>
                </c:pt>
                <c:pt idx="307">
                  <c:v>6.71</c:v>
                </c:pt>
                <c:pt idx="308">
                  <c:v>6.72</c:v>
                </c:pt>
                <c:pt idx="309">
                  <c:v>6.73</c:v>
                </c:pt>
                <c:pt idx="310">
                  <c:v>6.73</c:v>
                </c:pt>
                <c:pt idx="311">
                  <c:v>6.74</c:v>
                </c:pt>
                <c:pt idx="312">
                  <c:v>6.75</c:v>
                </c:pt>
                <c:pt idx="313">
                  <c:v>6.76</c:v>
                </c:pt>
                <c:pt idx="314">
                  <c:v>6.76</c:v>
                </c:pt>
                <c:pt idx="315">
                  <c:v>6.78</c:v>
                </c:pt>
                <c:pt idx="316">
                  <c:v>6.8</c:v>
                </c:pt>
                <c:pt idx="317">
                  <c:v>6.81</c:v>
                </c:pt>
                <c:pt idx="318">
                  <c:v>6.81</c:v>
                </c:pt>
                <c:pt idx="319">
                  <c:v>6.82</c:v>
                </c:pt>
                <c:pt idx="320">
                  <c:v>6.82</c:v>
                </c:pt>
                <c:pt idx="321">
                  <c:v>6.82</c:v>
                </c:pt>
                <c:pt idx="322">
                  <c:v>6.84</c:v>
                </c:pt>
                <c:pt idx="323">
                  <c:v>6.85</c:v>
                </c:pt>
                <c:pt idx="324">
                  <c:v>6.85</c:v>
                </c:pt>
                <c:pt idx="325">
                  <c:v>6.86</c:v>
                </c:pt>
                <c:pt idx="326">
                  <c:v>6.91</c:v>
                </c:pt>
                <c:pt idx="327">
                  <c:v>6.91</c:v>
                </c:pt>
                <c:pt idx="328">
                  <c:v>6.92</c:v>
                </c:pt>
                <c:pt idx="329">
                  <c:v>6.93</c:v>
                </c:pt>
                <c:pt idx="330">
                  <c:v>6.94</c:v>
                </c:pt>
                <c:pt idx="331">
                  <c:v>6.95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6.97</c:v>
                </c:pt>
                <c:pt idx="337">
                  <c:v>6.99</c:v>
                </c:pt>
                <c:pt idx="338">
                  <c:v>6.99</c:v>
                </c:pt>
                <c:pt idx="339">
                  <c:v>7</c:v>
                </c:pt>
                <c:pt idx="340">
                  <c:v>7.05</c:v>
                </c:pt>
                <c:pt idx="341">
                  <c:v>7.06</c:v>
                </c:pt>
                <c:pt idx="342">
                  <c:v>7.06</c:v>
                </c:pt>
                <c:pt idx="343">
                  <c:v>7.07</c:v>
                </c:pt>
                <c:pt idx="344">
                  <c:v>7.07</c:v>
                </c:pt>
                <c:pt idx="345">
                  <c:v>7.11</c:v>
                </c:pt>
                <c:pt idx="346">
                  <c:v>7.12</c:v>
                </c:pt>
                <c:pt idx="347">
                  <c:v>7.18</c:v>
                </c:pt>
                <c:pt idx="348">
                  <c:v>7.18</c:v>
                </c:pt>
                <c:pt idx="349">
                  <c:v>7.19</c:v>
                </c:pt>
                <c:pt idx="350">
                  <c:v>7.21</c:v>
                </c:pt>
                <c:pt idx="351">
                  <c:v>7.21</c:v>
                </c:pt>
                <c:pt idx="352">
                  <c:v>7.21</c:v>
                </c:pt>
                <c:pt idx="353">
                  <c:v>7.22</c:v>
                </c:pt>
                <c:pt idx="354">
                  <c:v>7.22</c:v>
                </c:pt>
                <c:pt idx="355">
                  <c:v>7.25</c:v>
                </c:pt>
                <c:pt idx="356">
                  <c:v>7.25</c:v>
                </c:pt>
                <c:pt idx="357">
                  <c:v>7.27</c:v>
                </c:pt>
                <c:pt idx="358">
                  <c:v>7.27</c:v>
                </c:pt>
                <c:pt idx="359">
                  <c:v>7.27</c:v>
                </c:pt>
                <c:pt idx="360">
                  <c:v>7.28</c:v>
                </c:pt>
                <c:pt idx="361">
                  <c:v>7.29</c:v>
                </c:pt>
                <c:pt idx="362">
                  <c:v>7.3</c:v>
                </c:pt>
                <c:pt idx="363">
                  <c:v>7.3</c:v>
                </c:pt>
                <c:pt idx="364">
                  <c:v>7.3</c:v>
                </c:pt>
                <c:pt idx="365">
                  <c:v>7.31</c:v>
                </c:pt>
                <c:pt idx="366">
                  <c:v>7.31</c:v>
                </c:pt>
                <c:pt idx="367">
                  <c:v>7.31</c:v>
                </c:pt>
                <c:pt idx="368">
                  <c:v>7.31</c:v>
                </c:pt>
                <c:pt idx="369">
                  <c:v>7.33</c:v>
                </c:pt>
                <c:pt idx="370">
                  <c:v>7.33</c:v>
                </c:pt>
                <c:pt idx="371">
                  <c:v>7.33</c:v>
                </c:pt>
                <c:pt idx="372">
                  <c:v>7.34</c:v>
                </c:pt>
                <c:pt idx="373">
                  <c:v>7.36</c:v>
                </c:pt>
                <c:pt idx="374">
                  <c:v>7.37</c:v>
                </c:pt>
                <c:pt idx="375">
                  <c:v>7.37</c:v>
                </c:pt>
                <c:pt idx="376">
                  <c:v>7.37</c:v>
                </c:pt>
                <c:pt idx="377">
                  <c:v>7.37</c:v>
                </c:pt>
                <c:pt idx="378">
                  <c:v>7.38</c:v>
                </c:pt>
                <c:pt idx="379">
                  <c:v>7.38</c:v>
                </c:pt>
                <c:pt idx="380">
                  <c:v>7.41</c:v>
                </c:pt>
                <c:pt idx="381">
                  <c:v>7.42</c:v>
                </c:pt>
                <c:pt idx="382">
                  <c:v>7.45</c:v>
                </c:pt>
                <c:pt idx="383">
                  <c:v>7.45</c:v>
                </c:pt>
                <c:pt idx="384">
                  <c:v>7.45</c:v>
                </c:pt>
                <c:pt idx="385">
                  <c:v>7.46</c:v>
                </c:pt>
                <c:pt idx="386">
                  <c:v>7.46</c:v>
                </c:pt>
                <c:pt idx="387">
                  <c:v>7.48</c:v>
                </c:pt>
                <c:pt idx="388">
                  <c:v>7.52</c:v>
                </c:pt>
                <c:pt idx="389">
                  <c:v>7.52</c:v>
                </c:pt>
                <c:pt idx="390">
                  <c:v>7.54</c:v>
                </c:pt>
                <c:pt idx="391">
                  <c:v>7.55</c:v>
                </c:pt>
                <c:pt idx="392">
                  <c:v>7.57</c:v>
                </c:pt>
                <c:pt idx="393">
                  <c:v>7.58</c:v>
                </c:pt>
                <c:pt idx="394">
                  <c:v>7.58</c:v>
                </c:pt>
                <c:pt idx="395">
                  <c:v>7.59</c:v>
                </c:pt>
                <c:pt idx="396">
                  <c:v>7.59</c:v>
                </c:pt>
                <c:pt idx="397">
                  <c:v>7.6</c:v>
                </c:pt>
                <c:pt idx="398">
                  <c:v>7.6</c:v>
                </c:pt>
                <c:pt idx="399">
                  <c:v>7.66</c:v>
                </c:pt>
                <c:pt idx="400">
                  <c:v>7.66</c:v>
                </c:pt>
                <c:pt idx="401">
                  <c:v>7.67</c:v>
                </c:pt>
                <c:pt idx="402">
                  <c:v>7.68</c:v>
                </c:pt>
                <c:pt idx="403">
                  <c:v>7.69</c:v>
                </c:pt>
                <c:pt idx="404">
                  <c:v>7.69</c:v>
                </c:pt>
                <c:pt idx="405">
                  <c:v>7.7</c:v>
                </c:pt>
                <c:pt idx="406">
                  <c:v>7.7</c:v>
                </c:pt>
                <c:pt idx="407">
                  <c:v>7.71</c:v>
                </c:pt>
                <c:pt idx="408">
                  <c:v>7.72</c:v>
                </c:pt>
                <c:pt idx="409">
                  <c:v>7.73</c:v>
                </c:pt>
                <c:pt idx="410">
                  <c:v>7.73</c:v>
                </c:pt>
                <c:pt idx="411">
                  <c:v>7.75</c:v>
                </c:pt>
                <c:pt idx="412">
                  <c:v>7.76</c:v>
                </c:pt>
                <c:pt idx="413">
                  <c:v>7.79</c:v>
                </c:pt>
                <c:pt idx="414">
                  <c:v>7.81</c:v>
                </c:pt>
                <c:pt idx="415">
                  <c:v>7.81</c:v>
                </c:pt>
                <c:pt idx="416">
                  <c:v>7.84</c:v>
                </c:pt>
                <c:pt idx="417">
                  <c:v>7.87</c:v>
                </c:pt>
                <c:pt idx="418">
                  <c:v>7.88</c:v>
                </c:pt>
                <c:pt idx="419">
                  <c:v>7.9</c:v>
                </c:pt>
                <c:pt idx="420">
                  <c:v>7.9</c:v>
                </c:pt>
                <c:pt idx="421">
                  <c:v>7.91</c:v>
                </c:pt>
                <c:pt idx="422">
                  <c:v>7.93</c:v>
                </c:pt>
                <c:pt idx="423">
                  <c:v>7.93</c:v>
                </c:pt>
                <c:pt idx="424">
                  <c:v>7.95</c:v>
                </c:pt>
                <c:pt idx="425">
                  <c:v>7.97</c:v>
                </c:pt>
                <c:pt idx="426">
                  <c:v>7.97</c:v>
                </c:pt>
                <c:pt idx="427">
                  <c:v>7.98</c:v>
                </c:pt>
                <c:pt idx="428">
                  <c:v>7.98</c:v>
                </c:pt>
                <c:pt idx="429">
                  <c:v>8</c:v>
                </c:pt>
                <c:pt idx="430">
                  <c:v>8.02</c:v>
                </c:pt>
                <c:pt idx="431">
                  <c:v>8.02</c:v>
                </c:pt>
                <c:pt idx="432">
                  <c:v>8.0399999999999991</c:v>
                </c:pt>
                <c:pt idx="433">
                  <c:v>8.0500000000000007</c:v>
                </c:pt>
                <c:pt idx="434">
                  <c:v>8.08</c:v>
                </c:pt>
                <c:pt idx="435">
                  <c:v>8.08</c:v>
                </c:pt>
                <c:pt idx="436">
                  <c:v>8.1</c:v>
                </c:pt>
                <c:pt idx="437">
                  <c:v>8.1</c:v>
                </c:pt>
                <c:pt idx="438">
                  <c:v>8.11</c:v>
                </c:pt>
                <c:pt idx="439">
                  <c:v>8.1199999999999992</c:v>
                </c:pt>
                <c:pt idx="440">
                  <c:v>8.1199999999999992</c:v>
                </c:pt>
                <c:pt idx="441">
                  <c:v>8.1199999999999992</c:v>
                </c:pt>
                <c:pt idx="442">
                  <c:v>8.14</c:v>
                </c:pt>
                <c:pt idx="443">
                  <c:v>8.14</c:v>
                </c:pt>
                <c:pt idx="444">
                  <c:v>8.17</c:v>
                </c:pt>
                <c:pt idx="445">
                  <c:v>8.18</c:v>
                </c:pt>
                <c:pt idx="446">
                  <c:v>8.19</c:v>
                </c:pt>
                <c:pt idx="447">
                  <c:v>8.19</c:v>
                </c:pt>
                <c:pt idx="448">
                  <c:v>8.2200000000000006</c:v>
                </c:pt>
                <c:pt idx="449">
                  <c:v>8.2200000000000006</c:v>
                </c:pt>
                <c:pt idx="450">
                  <c:v>8.24</c:v>
                </c:pt>
                <c:pt idx="451">
                  <c:v>8.27</c:v>
                </c:pt>
                <c:pt idx="452">
                  <c:v>8.2899999999999991</c:v>
                </c:pt>
                <c:pt idx="453">
                  <c:v>8.2899999999999991</c:v>
                </c:pt>
                <c:pt idx="454">
                  <c:v>8.31</c:v>
                </c:pt>
                <c:pt idx="455">
                  <c:v>8.34</c:v>
                </c:pt>
                <c:pt idx="456">
                  <c:v>8.35</c:v>
                </c:pt>
                <c:pt idx="457">
                  <c:v>8.3800000000000008</c:v>
                </c:pt>
                <c:pt idx="458">
                  <c:v>8.39</c:v>
                </c:pt>
                <c:pt idx="459">
                  <c:v>8.39</c:v>
                </c:pt>
                <c:pt idx="460">
                  <c:v>8.39</c:v>
                </c:pt>
                <c:pt idx="461">
                  <c:v>8.39</c:v>
                </c:pt>
                <c:pt idx="462">
                  <c:v>8.41</c:v>
                </c:pt>
                <c:pt idx="463">
                  <c:v>8.41</c:v>
                </c:pt>
                <c:pt idx="464">
                  <c:v>8.42</c:v>
                </c:pt>
                <c:pt idx="465">
                  <c:v>8.44</c:v>
                </c:pt>
                <c:pt idx="466">
                  <c:v>8.44</c:v>
                </c:pt>
                <c:pt idx="467">
                  <c:v>8.4700000000000006</c:v>
                </c:pt>
                <c:pt idx="468">
                  <c:v>8.49</c:v>
                </c:pt>
                <c:pt idx="469">
                  <c:v>8.52</c:v>
                </c:pt>
                <c:pt idx="470">
                  <c:v>8.5399999999999991</c:v>
                </c:pt>
                <c:pt idx="471">
                  <c:v>8.5399999999999991</c:v>
                </c:pt>
                <c:pt idx="472">
                  <c:v>8.5500000000000007</c:v>
                </c:pt>
                <c:pt idx="473">
                  <c:v>8.5500000000000007</c:v>
                </c:pt>
                <c:pt idx="474">
                  <c:v>8.56</c:v>
                </c:pt>
                <c:pt idx="475">
                  <c:v>8.6</c:v>
                </c:pt>
                <c:pt idx="476">
                  <c:v>8.6</c:v>
                </c:pt>
                <c:pt idx="477">
                  <c:v>8.6</c:v>
                </c:pt>
                <c:pt idx="478">
                  <c:v>8.6</c:v>
                </c:pt>
                <c:pt idx="479">
                  <c:v>8.61</c:v>
                </c:pt>
                <c:pt idx="480">
                  <c:v>8.6199999999999992</c:v>
                </c:pt>
                <c:pt idx="481">
                  <c:v>8.6199999999999992</c:v>
                </c:pt>
                <c:pt idx="482">
                  <c:v>8.6300000000000008</c:v>
                </c:pt>
                <c:pt idx="483">
                  <c:v>8.64</c:v>
                </c:pt>
                <c:pt idx="484">
                  <c:v>8.65</c:v>
                </c:pt>
                <c:pt idx="485">
                  <c:v>8.65</c:v>
                </c:pt>
                <c:pt idx="486">
                  <c:v>8.65</c:v>
                </c:pt>
                <c:pt idx="487">
                  <c:v>8.68</c:v>
                </c:pt>
                <c:pt idx="488">
                  <c:v>8.68</c:v>
                </c:pt>
                <c:pt idx="489">
                  <c:v>8.68</c:v>
                </c:pt>
                <c:pt idx="490">
                  <c:v>8.68</c:v>
                </c:pt>
                <c:pt idx="491">
                  <c:v>8.69</c:v>
                </c:pt>
                <c:pt idx="492">
                  <c:v>8.6999999999999993</c:v>
                </c:pt>
                <c:pt idx="493">
                  <c:v>8.7100000000000009</c:v>
                </c:pt>
                <c:pt idx="494">
                  <c:v>8.7200000000000006</c:v>
                </c:pt>
                <c:pt idx="495">
                  <c:v>8.7200000000000006</c:v>
                </c:pt>
                <c:pt idx="496">
                  <c:v>8.74</c:v>
                </c:pt>
                <c:pt idx="497">
                  <c:v>8.74</c:v>
                </c:pt>
                <c:pt idx="498">
                  <c:v>8.75</c:v>
                </c:pt>
                <c:pt idx="499">
                  <c:v>8.7799999999999994</c:v>
                </c:pt>
                <c:pt idx="500">
                  <c:v>8.7899999999999991</c:v>
                </c:pt>
                <c:pt idx="501">
                  <c:v>8.8000000000000007</c:v>
                </c:pt>
                <c:pt idx="502">
                  <c:v>8.8000000000000007</c:v>
                </c:pt>
                <c:pt idx="503">
                  <c:v>8.83</c:v>
                </c:pt>
                <c:pt idx="504">
                  <c:v>8.85</c:v>
                </c:pt>
                <c:pt idx="505">
                  <c:v>8.86</c:v>
                </c:pt>
                <c:pt idx="506">
                  <c:v>8.8800000000000008</c:v>
                </c:pt>
                <c:pt idx="507">
                  <c:v>8.89</c:v>
                </c:pt>
                <c:pt idx="508">
                  <c:v>8.91</c:v>
                </c:pt>
                <c:pt idx="509">
                  <c:v>8.92</c:v>
                </c:pt>
                <c:pt idx="510">
                  <c:v>8.93</c:v>
                </c:pt>
                <c:pt idx="511">
                  <c:v>8.93</c:v>
                </c:pt>
                <c:pt idx="512">
                  <c:v>8.94</c:v>
                </c:pt>
                <c:pt idx="513">
                  <c:v>8.9600000000000009</c:v>
                </c:pt>
                <c:pt idx="514">
                  <c:v>8.9700000000000006</c:v>
                </c:pt>
                <c:pt idx="515">
                  <c:v>8.98</c:v>
                </c:pt>
                <c:pt idx="516">
                  <c:v>8.98</c:v>
                </c:pt>
                <c:pt idx="517">
                  <c:v>9</c:v>
                </c:pt>
                <c:pt idx="518">
                  <c:v>9.01</c:v>
                </c:pt>
                <c:pt idx="519">
                  <c:v>9.02</c:v>
                </c:pt>
                <c:pt idx="520">
                  <c:v>9.02</c:v>
                </c:pt>
                <c:pt idx="521">
                  <c:v>9.0299999999999994</c:v>
                </c:pt>
                <c:pt idx="522">
                  <c:v>9.0299999999999994</c:v>
                </c:pt>
                <c:pt idx="523">
                  <c:v>9.0399999999999991</c:v>
                </c:pt>
                <c:pt idx="524">
                  <c:v>9.0500000000000007</c:v>
                </c:pt>
                <c:pt idx="525">
                  <c:v>9.0500000000000007</c:v>
                </c:pt>
                <c:pt idx="526">
                  <c:v>9.06</c:v>
                </c:pt>
                <c:pt idx="527">
                  <c:v>9.07</c:v>
                </c:pt>
                <c:pt idx="528">
                  <c:v>9.07</c:v>
                </c:pt>
                <c:pt idx="529">
                  <c:v>9.1</c:v>
                </c:pt>
                <c:pt idx="530">
                  <c:v>9.15</c:v>
                </c:pt>
                <c:pt idx="531">
                  <c:v>9.15</c:v>
                </c:pt>
                <c:pt idx="532">
                  <c:v>9.17</c:v>
                </c:pt>
                <c:pt idx="533">
                  <c:v>9.18</c:v>
                </c:pt>
                <c:pt idx="534">
                  <c:v>9.18</c:v>
                </c:pt>
                <c:pt idx="535">
                  <c:v>9.19</c:v>
                </c:pt>
                <c:pt idx="536">
                  <c:v>9.1999999999999993</c:v>
                </c:pt>
                <c:pt idx="537">
                  <c:v>9.1999999999999993</c:v>
                </c:pt>
                <c:pt idx="538">
                  <c:v>9.1999999999999993</c:v>
                </c:pt>
                <c:pt idx="539">
                  <c:v>9.2100000000000009</c:v>
                </c:pt>
                <c:pt idx="540">
                  <c:v>9.2100000000000009</c:v>
                </c:pt>
                <c:pt idx="541">
                  <c:v>9.2100000000000009</c:v>
                </c:pt>
                <c:pt idx="542">
                  <c:v>9.2200000000000006</c:v>
                </c:pt>
                <c:pt idx="543">
                  <c:v>9.23</c:v>
                </c:pt>
                <c:pt idx="544">
                  <c:v>9.23</c:v>
                </c:pt>
                <c:pt idx="545">
                  <c:v>9.23</c:v>
                </c:pt>
                <c:pt idx="546">
                  <c:v>9.24</c:v>
                </c:pt>
                <c:pt idx="547">
                  <c:v>9.24</c:v>
                </c:pt>
                <c:pt idx="548">
                  <c:v>9.25</c:v>
                </c:pt>
                <c:pt idx="549">
                  <c:v>9.25</c:v>
                </c:pt>
                <c:pt idx="550">
                  <c:v>9.25</c:v>
                </c:pt>
                <c:pt idx="551">
                  <c:v>9.27</c:v>
                </c:pt>
                <c:pt idx="552">
                  <c:v>9.27</c:v>
                </c:pt>
                <c:pt idx="553">
                  <c:v>9.27</c:v>
                </c:pt>
                <c:pt idx="554">
                  <c:v>9.2799999999999994</c:v>
                </c:pt>
                <c:pt idx="555">
                  <c:v>9.3000000000000007</c:v>
                </c:pt>
                <c:pt idx="556">
                  <c:v>9.3000000000000007</c:v>
                </c:pt>
                <c:pt idx="557">
                  <c:v>9.31</c:v>
                </c:pt>
                <c:pt idx="558">
                  <c:v>9.33</c:v>
                </c:pt>
                <c:pt idx="559">
                  <c:v>9.33</c:v>
                </c:pt>
                <c:pt idx="560">
                  <c:v>9.35</c:v>
                </c:pt>
                <c:pt idx="561">
                  <c:v>9.3800000000000008</c:v>
                </c:pt>
                <c:pt idx="562">
                  <c:v>9.3800000000000008</c:v>
                </c:pt>
                <c:pt idx="563">
                  <c:v>9.42</c:v>
                </c:pt>
                <c:pt idx="564">
                  <c:v>9.44</c:v>
                </c:pt>
                <c:pt idx="565">
                  <c:v>9.4600000000000009</c:v>
                </c:pt>
                <c:pt idx="566">
                  <c:v>9.4700000000000006</c:v>
                </c:pt>
                <c:pt idx="567">
                  <c:v>9.49</c:v>
                </c:pt>
                <c:pt idx="568">
                  <c:v>9.5</c:v>
                </c:pt>
                <c:pt idx="569">
                  <c:v>9.5299999999999994</c:v>
                </c:pt>
                <c:pt idx="570">
                  <c:v>9.5299999999999994</c:v>
                </c:pt>
                <c:pt idx="571">
                  <c:v>9.56</c:v>
                </c:pt>
                <c:pt idx="572">
                  <c:v>9.57</c:v>
                </c:pt>
                <c:pt idx="573">
                  <c:v>9.58</c:v>
                </c:pt>
                <c:pt idx="574">
                  <c:v>9.58</c:v>
                </c:pt>
                <c:pt idx="575">
                  <c:v>9.59</c:v>
                </c:pt>
                <c:pt idx="576">
                  <c:v>9.6</c:v>
                </c:pt>
                <c:pt idx="577">
                  <c:v>9.6199999999999992</c:v>
                </c:pt>
                <c:pt idx="578">
                  <c:v>9.6199999999999992</c:v>
                </c:pt>
                <c:pt idx="579">
                  <c:v>9.65</c:v>
                </c:pt>
                <c:pt idx="580">
                  <c:v>9.66</c:v>
                </c:pt>
                <c:pt idx="581">
                  <c:v>9.66</c:v>
                </c:pt>
                <c:pt idx="582">
                  <c:v>9.67</c:v>
                </c:pt>
                <c:pt idx="583">
                  <c:v>9.68</c:v>
                </c:pt>
                <c:pt idx="584">
                  <c:v>9.69</c:v>
                </c:pt>
                <c:pt idx="585">
                  <c:v>9.69</c:v>
                </c:pt>
                <c:pt idx="586">
                  <c:v>9.73</c:v>
                </c:pt>
                <c:pt idx="587">
                  <c:v>9.73</c:v>
                </c:pt>
                <c:pt idx="588">
                  <c:v>9.74</c:v>
                </c:pt>
                <c:pt idx="589">
                  <c:v>9.75</c:v>
                </c:pt>
                <c:pt idx="590">
                  <c:v>9.77</c:v>
                </c:pt>
                <c:pt idx="591">
                  <c:v>9.7799999999999994</c:v>
                </c:pt>
                <c:pt idx="592">
                  <c:v>9.84</c:v>
                </c:pt>
                <c:pt idx="593">
                  <c:v>9.85</c:v>
                </c:pt>
                <c:pt idx="594">
                  <c:v>9.86</c:v>
                </c:pt>
                <c:pt idx="595">
                  <c:v>9.8699999999999992</c:v>
                </c:pt>
                <c:pt idx="596">
                  <c:v>9.8699999999999992</c:v>
                </c:pt>
                <c:pt idx="597">
                  <c:v>9.8800000000000008</c:v>
                </c:pt>
                <c:pt idx="598">
                  <c:v>9.91</c:v>
                </c:pt>
                <c:pt idx="599">
                  <c:v>9.91</c:v>
                </c:pt>
                <c:pt idx="600">
                  <c:v>9.93</c:v>
                </c:pt>
                <c:pt idx="601">
                  <c:v>9.94</c:v>
                </c:pt>
                <c:pt idx="602">
                  <c:v>9.9499999999999993</c:v>
                </c:pt>
                <c:pt idx="603">
                  <c:v>9.9600000000000009</c:v>
                </c:pt>
                <c:pt idx="604">
                  <c:v>9.9600000000000009</c:v>
                </c:pt>
                <c:pt idx="605">
                  <c:v>9.98</c:v>
                </c:pt>
                <c:pt idx="606">
                  <c:v>9.99</c:v>
                </c:pt>
                <c:pt idx="607">
                  <c:v>9.99</c:v>
                </c:pt>
                <c:pt idx="608">
                  <c:v>9.99</c:v>
                </c:pt>
                <c:pt idx="609">
                  <c:v>9.99</c:v>
                </c:pt>
                <c:pt idx="610">
                  <c:v>10</c:v>
                </c:pt>
                <c:pt idx="611">
                  <c:v>10</c:v>
                </c:pt>
                <c:pt idx="612">
                  <c:v>10.1</c:v>
                </c:pt>
                <c:pt idx="613">
                  <c:v>10.199999999999999</c:v>
                </c:pt>
                <c:pt idx="614">
                  <c:v>10.3</c:v>
                </c:pt>
                <c:pt idx="615">
                  <c:v>10.4</c:v>
                </c:pt>
                <c:pt idx="616">
                  <c:v>10.6</c:v>
                </c:pt>
                <c:pt idx="617">
                  <c:v>10.6</c:v>
                </c:pt>
                <c:pt idx="618">
                  <c:v>10.6</c:v>
                </c:pt>
                <c:pt idx="619">
                  <c:v>10.7</c:v>
                </c:pt>
                <c:pt idx="620">
                  <c:v>10.7</c:v>
                </c:pt>
                <c:pt idx="621">
                  <c:v>10.9</c:v>
                </c:pt>
                <c:pt idx="622">
                  <c:v>11</c:v>
                </c:pt>
                <c:pt idx="623">
                  <c:v>11.1</c:v>
                </c:pt>
                <c:pt idx="624">
                  <c:v>11.1</c:v>
                </c:pt>
                <c:pt idx="625">
                  <c:v>11.3</c:v>
                </c:pt>
                <c:pt idx="626">
                  <c:v>11.3</c:v>
                </c:pt>
                <c:pt idx="627">
                  <c:v>11.3</c:v>
                </c:pt>
                <c:pt idx="628">
                  <c:v>11.4</c:v>
                </c:pt>
                <c:pt idx="629">
                  <c:v>11.5</c:v>
                </c:pt>
                <c:pt idx="630">
                  <c:v>11.6</c:v>
                </c:pt>
                <c:pt idx="631">
                  <c:v>11.6</c:v>
                </c:pt>
                <c:pt idx="632">
                  <c:v>11.7</c:v>
                </c:pt>
                <c:pt idx="633">
                  <c:v>11.8</c:v>
                </c:pt>
                <c:pt idx="634">
                  <c:v>11.8</c:v>
                </c:pt>
                <c:pt idx="635">
                  <c:v>11.8</c:v>
                </c:pt>
                <c:pt idx="636">
                  <c:v>11.9</c:v>
                </c:pt>
                <c:pt idx="637">
                  <c:v>11.9</c:v>
                </c:pt>
                <c:pt idx="638">
                  <c:v>11.9</c:v>
                </c:pt>
                <c:pt idx="639">
                  <c:v>12</c:v>
                </c:pt>
                <c:pt idx="640">
                  <c:v>12</c:v>
                </c:pt>
                <c:pt idx="641">
                  <c:v>12.1</c:v>
                </c:pt>
                <c:pt idx="642">
                  <c:v>12.1</c:v>
                </c:pt>
                <c:pt idx="643">
                  <c:v>12.1</c:v>
                </c:pt>
                <c:pt idx="644">
                  <c:v>12.2</c:v>
                </c:pt>
                <c:pt idx="645">
                  <c:v>12.2</c:v>
                </c:pt>
                <c:pt idx="646">
                  <c:v>12.2</c:v>
                </c:pt>
                <c:pt idx="647">
                  <c:v>12.3</c:v>
                </c:pt>
                <c:pt idx="648">
                  <c:v>12.4</c:v>
                </c:pt>
                <c:pt idx="649">
                  <c:v>12.4</c:v>
                </c:pt>
                <c:pt idx="650">
                  <c:v>12.4</c:v>
                </c:pt>
                <c:pt idx="651">
                  <c:v>12.5</c:v>
                </c:pt>
                <c:pt idx="652">
                  <c:v>12.5</c:v>
                </c:pt>
                <c:pt idx="653">
                  <c:v>12.5</c:v>
                </c:pt>
                <c:pt idx="654">
                  <c:v>12.5</c:v>
                </c:pt>
                <c:pt idx="655">
                  <c:v>12.6</c:v>
                </c:pt>
                <c:pt idx="656">
                  <c:v>12.7</c:v>
                </c:pt>
                <c:pt idx="657">
                  <c:v>12.7</c:v>
                </c:pt>
                <c:pt idx="658">
                  <c:v>12.8</c:v>
                </c:pt>
                <c:pt idx="659">
                  <c:v>13</c:v>
                </c:pt>
              </c:numCache>
            </c:numRef>
          </c:xVal>
          <c:yVal>
            <c:numRef>
              <c:f>'DATA Février (clients affiliés)'!$C$2:$C$661</c:f>
              <c:numCache>
                <c:formatCode>General</c:formatCode>
                <c:ptCount val="660"/>
                <c:pt idx="0">
                  <c:v>34.97</c:v>
                </c:pt>
                <c:pt idx="1">
                  <c:v>23.33</c:v>
                </c:pt>
                <c:pt idx="2">
                  <c:v>22.81</c:v>
                </c:pt>
                <c:pt idx="3">
                  <c:v>38.61</c:v>
                </c:pt>
                <c:pt idx="4">
                  <c:v>17.32</c:v>
                </c:pt>
                <c:pt idx="5">
                  <c:v>67.260000000000005</c:v>
                </c:pt>
                <c:pt idx="6">
                  <c:v>31.37</c:v>
                </c:pt>
                <c:pt idx="7">
                  <c:v>28.32</c:v>
                </c:pt>
                <c:pt idx="8">
                  <c:v>32.700000000000003</c:v>
                </c:pt>
                <c:pt idx="9">
                  <c:v>29.17</c:v>
                </c:pt>
                <c:pt idx="10">
                  <c:v>19.010000000000002</c:v>
                </c:pt>
                <c:pt idx="11">
                  <c:v>43.17</c:v>
                </c:pt>
                <c:pt idx="12">
                  <c:v>22.59</c:v>
                </c:pt>
                <c:pt idx="13">
                  <c:v>51.99</c:v>
                </c:pt>
                <c:pt idx="14">
                  <c:v>39.54</c:v>
                </c:pt>
                <c:pt idx="15">
                  <c:v>14</c:v>
                </c:pt>
                <c:pt idx="16">
                  <c:v>48.14</c:v>
                </c:pt>
                <c:pt idx="17">
                  <c:v>31.1</c:v>
                </c:pt>
                <c:pt idx="18">
                  <c:v>38.9</c:v>
                </c:pt>
                <c:pt idx="19">
                  <c:v>43.26</c:v>
                </c:pt>
                <c:pt idx="20">
                  <c:v>42.51</c:v>
                </c:pt>
                <c:pt idx="21">
                  <c:v>9.8000000000000007</c:v>
                </c:pt>
                <c:pt idx="22">
                  <c:v>25.28</c:v>
                </c:pt>
                <c:pt idx="23">
                  <c:v>16.579999999999998</c:v>
                </c:pt>
                <c:pt idx="24">
                  <c:v>63</c:v>
                </c:pt>
                <c:pt idx="25">
                  <c:v>11.14</c:v>
                </c:pt>
                <c:pt idx="26">
                  <c:v>31.65</c:v>
                </c:pt>
                <c:pt idx="27">
                  <c:v>26.05</c:v>
                </c:pt>
                <c:pt idx="28">
                  <c:v>58.89</c:v>
                </c:pt>
                <c:pt idx="29">
                  <c:v>30.68</c:v>
                </c:pt>
                <c:pt idx="30">
                  <c:v>6.97</c:v>
                </c:pt>
                <c:pt idx="31">
                  <c:v>43.28</c:v>
                </c:pt>
                <c:pt idx="32">
                  <c:v>41.24</c:v>
                </c:pt>
                <c:pt idx="33">
                  <c:v>35.11</c:v>
                </c:pt>
                <c:pt idx="34">
                  <c:v>33.03</c:v>
                </c:pt>
                <c:pt idx="35">
                  <c:v>51.98</c:v>
                </c:pt>
                <c:pt idx="36">
                  <c:v>22.47</c:v>
                </c:pt>
                <c:pt idx="37">
                  <c:v>48.57</c:v>
                </c:pt>
                <c:pt idx="38">
                  <c:v>30.33</c:v>
                </c:pt>
                <c:pt idx="39">
                  <c:v>34.53</c:v>
                </c:pt>
                <c:pt idx="40">
                  <c:v>12.65</c:v>
                </c:pt>
                <c:pt idx="41">
                  <c:v>50.34</c:v>
                </c:pt>
                <c:pt idx="42">
                  <c:v>44.87</c:v>
                </c:pt>
                <c:pt idx="43">
                  <c:v>23.5</c:v>
                </c:pt>
                <c:pt idx="44">
                  <c:v>50.93</c:v>
                </c:pt>
                <c:pt idx="45">
                  <c:v>27.84</c:v>
                </c:pt>
                <c:pt idx="46">
                  <c:v>11.95</c:v>
                </c:pt>
                <c:pt idx="47">
                  <c:v>58.99</c:v>
                </c:pt>
                <c:pt idx="48">
                  <c:v>30.62</c:v>
                </c:pt>
                <c:pt idx="49">
                  <c:v>21.99</c:v>
                </c:pt>
                <c:pt idx="50">
                  <c:v>18.52</c:v>
                </c:pt>
                <c:pt idx="51">
                  <c:v>18.28</c:v>
                </c:pt>
                <c:pt idx="52">
                  <c:v>70</c:v>
                </c:pt>
                <c:pt idx="53">
                  <c:v>44.21</c:v>
                </c:pt>
                <c:pt idx="54">
                  <c:v>25.68</c:v>
                </c:pt>
                <c:pt idx="55">
                  <c:v>51.67</c:v>
                </c:pt>
                <c:pt idx="56">
                  <c:v>47.74</c:v>
                </c:pt>
                <c:pt idx="57">
                  <c:v>21.98</c:v>
                </c:pt>
                <c:pt idx="58">
                  <c:v>82.05</c:v>
                </c:pt>
                <c:pt idx="59">
                  <c:v>36.31</c:v>
                </c:pt>
                <c:pt idx="60">
                  <c:v>37.869999999999997</c:v>
                </c:pt>
                <c:pt idx="61">
                  <c:v>26.63</c:v>
                </c:pt>
                <c:pt idx="62">
                  <c:v>36.58</c:v>
                </c:pt>
                <c:pt idx="63">
                  <c:v>35.78</c:v>
                </c:pt>
                <c:pt idx="64">
                  <c:v>22.54</c:v>
                </c:pt>
                <c:pt idx="65">
                  <c:v>60.58</c:v>
                </c:pt>
                <c:pt idx="66">
                  <c:v>49.27</c:v>
                </c:pt>
                <c:pt idx="67">
                  <c:v>45.83</c:v>
                </c:pt>
                <c:pt idx="68">
                  <c:v>20.84</c:v>
                </c:pt>
                <c:pt idx="69">
                  <c:v>39.58</c:v>
                </c:pt>
                <c:pt idx="70">
                  <c:v>38.17</c:v>
                </c:pt>
                <c:pt idx="71">
                  <c:v>8</c:v>
                </c:pt>
                <c:pt idx="72">
                  <c:v>44.29</c:v>
                </c:pt>
                <c:pt idx="73">
                  <c:v>52.93</c:v>
                </c:pt>
                <c:pt idx="74">
                  <c:v>57.95</c:v>
                </c:pt>
                <c:pt idx="75">
                  <c:v>45.75</c:v>
                </c:pt>
                <c:pt idx="76">
                  <c:v>43.55</c:v>
                </c:pt>
                <c:pt idx="77">
                  <c:v>43.18</c:v>
                </c:pt>
                <c:pt idx="78">
                  <c:v>52.51</c:v>
                </c:pt>
                <c:pt idx="79">
                  <c:v>50.74</c:v>
                </c:pt>
                <c:pt idx="80">
                  <c:v>33.97</c:v>
                </c:pt>
                <c:pt idx="81">
                  <c:v>41.82</c:v>
                </c:pt>
                <c:pt idx="82">
                  <c:v>31.48</c:v>
                </c:pt>
                <c:pt idx="83">
                  <c:v>50.33</c:v>
                </c:pt>
                <c:pt idx="84">
                  <c:v>35.799999999999997</c:v>
                </c:pt>
                <c:pt idx="85">
                  <c:v>23.31</c:v>
                </c:pt>
                <c:pt idx="86">
                  <c:v>43.95</c:v>
                </c:pt>
                <c:pt idx="87">
                  <c:v>35.26</c:v>
                </c:pt>
                <c:pt idx="88">
                  <c:v>20.170000000000002</c:v>
                </c:pt>
                <c:pt idx="89">
                  <c:v>76.47</c:v>
                </c:pt>
                <c:pt idx="90">
                  <c:v>34.409999999999997</c:v>
                </c:pt>
                <c:pt idx="91">
                  <c:v>24.63</c:v>
                </c:pt>
                <c:pt idx="92">
                  <c:v>34.049999999999997</c:v>
                </c:pt>
                <c:pt idx="93">
                  <c:v>30.81</c:v>
                </c:pt>
                <c:pt idx="94">
                  <c:v>38.24</c:v>
                </c:pt>
                <c:pt idx="95">
                  <c:v>64.67</c:v>
                </c:pt>
                <c:pt idx="96">
                  <c:v>45.92</c:v>
                </c:pt>
                <c:pt idx="97">
                  <c:v>42.01</c:v>
                </c:pt>
                <c:pt idx="98">
                  <c:v>21.1</c:v>
                </c:pt>
                <c:pt idx="99">
                  <c:v>44.23</c:v>
                </c:pt>
                <c:pt idx="100">
                  <c:v>46.9</c:v>
                </c:pt>
                <c:pt idx="101">
                  <c:v>45.88</c:v>
                </c:pt>
                <c:pt idx="102">
                  <c:v>40.86</c:v>
                </c:pt>
                <c:pt idx="103">
                  <c:v>44.25</c:v>
                </c:pt>
                <c:pt idx="104">
                  <c:v>41.34</c:v>
                </c:pt>
                <c:pt idx="105">
                  <c:v>65.36</c:v>
                </c:pt>
                <c:pt idx="106">
                  <c:v>24.61</c:v>
                </c:pt>
                <c:pt idx="107">
                  <c:v>51.67</c:v>
                </c:pt>
                <c:pt idx="108">
                  <c:v>38.450000000000003</c:v>
                </c:pt>
                <c:pt idx="109">
                  <c:v>30.74</c:v>
                </c:pt>
                <c:pt idx="110">
                  <c:v>38.69</c:v>
                </c:pt>
                <c:pt idx="111">
                  <c:v>36.200000000000003</c:v>
                </c:pt>
                <c:pt idx="112">
                  <c:v>57.53</c:v>
                </c:pt>
                <c:pt idx="113">
                  <c:v>50.07</c:v>
                </c:pt>
                <c:pt idx="114">
                  <c:v>49.81</c:v>
                </c:pt>
                <c:pt idx="115">
                  <c:v>9.23</c:v>
                </c:pt>
                <c:pt idx="116">
                  <c:v>61.81</c:v>
                </c:pt>
                <c:pt idx="117">
                  <c:v>46.24</c:v>
                </c:pt>
                <c:pt idx="118">
                  <c:v>44.37</c:v>
                </c:pt>
                <c:pt idx="119">
                  <c:v>51</c:v>
                </c:pt>
                <c:pt idx="120">
                  <c:v>58</c:v>
                </c:pt>
                <c:pt idx="121">
                  <c:v>43.81</c:v>
                </c:pt>
                <c:pt idx="122">
                  <c:v>76.27</c:v>
                </c:pt>
                <c:pt idx="123">
                  <c:v>67.87</c:v>
                </c:pt>
                <c:pt idx="124">
                  <c:v>62.92</c:v>
                </c:pt>
                <c:pt idx="125">
                  <c:v>29.99</c:v>
                </c:pt>
                <c:pt idx="126">
                  <c:v>39.82</c:v>
                </c:pt>
                <c:pt idx="127">
                  <c:v>45.31</c:v>
                </c:pt>
                <c:pt idx="128">
                  <c:v>37.46</c:v>
                </c:pt>
                <c:pt idx="129">
                  <c:v>59.93</c:v>
                </c:pt>
                <c:pt idx="130">
                  <c:v>53.52</c:v>
                </c:pt>
                <c:pt idx="131">
                  <c:v>62.64</c:v>
                </c:pt>
                <c:pt idx="132">
                  <c:v>46.33</c:v>
                </c:pt>
                <c:pt idx="133">
                  <c:v>38.86</c:v>
                </c:pt>
                <c:pt idx="134">
                  <c:v>65.16</c:v>
                </c:pt>
                <c:pt idx="135">
                  <c:v>43.97</c:v>
                </c:pt>
                <c:pt idx="136">
                  <c:v>76.37</c:v>
                </c:pt>
                <c:pt idx="137">
                  <c:v>35.53</c:v>
                </c:pt>
                <c:pt idx="138">
                  <c:v>42.91</c:v>
                </c:pt>
                <c:pt idx="139">
                  <c:v>41.59</c:v>
                </c:pt>
                <c:pt idx="140">
                  <c:v>31.21</c:v>
                </c:pt>
                <c:pt idx="141">
                  <c:v>74.09</c:v>
                </c:pt>
                <c:pt idx="142">
                  <c:v>73.69</c:v>
                </c:pt>
                <c:pt idx="143">
                  <c:v>45.65</c:v>
                </c:pt>
                <c:pt idx="144">
                  <c:v>96.03</c:v>
                </c:pt>
                <c:pt idx="145">
                  <c:v>58.17</c:v>
                </c:pt>
                <c:pt idx="146">
                  <c:v>51</c:v>
                </c:pt>
                <c:pt idx="147">
                  <c:v>47.22</c:v>
                </c:pt>
                <c:pt idx="148">
                  <c:v>38.1</c:v>
                </c:pt>
                <c:pt idx="149">
                  <c:v>63.38</c:v>
                </c:pt>
                <c:pt idx="150">
                  <c:v>46.8</c:v>
                </c:pt>
                <c:pt idx="151">
                  <c:v>52.61</c:v>
                </c:pt>
                <c:pt idx="152">
                  <c:v>51.35</c:v>
                </c:pt>
                <c:pt idx="153">
                  <c:v>36.72</c:v>
                </c:pt>
                <c:pt idx="154">
                  <c:v>59.17</c:v>
                </c:pt>
                <c:pt idx="155">
                  <c:v>39.99</c:v>
                </c:pt>
                <c:pt idx="156">
                  <c:v>37.39</c:v>
                </c:pt>
                <c:pt idx="157">
                  <c:v>92.88</c:v>
                </c:pt>
                <c:pt idx="158">
                  <c:v>48.26</c:v>
                </c:pt>
                <c:pt idx="159">
                  <c:v>28.76</c:v>
                </c:pt>
                <c:pt idx="160">
                  <c:v>40.19</c:v>
                </c:pt>
                <c:pt idx="161">
                  <c:v>42.46</c:v>
                </c:pt>
                <c:pt idx="162">
                  <c:v>44.82</c:v>
                </c:pt>
                <c:pt idx="163">
                  <c:v>46.77</c:v>
                </c:pt>
                <c:pt idx="164">
                  <c:v>30.67</c:v>
                </c:pt>
                <c:pt idx="165">
                  <c:v>52.1</c:v>
                </c:pt>
                <c:pt idx="166">
                  <c:v>70.22</c:v>
                </c:pt>
                <c:pt idx="167">
                  <c:v>51.69</c:v>
                </c:pt>
                <c:pt idx="168">
                  <c:v>43.32</c:v>
                </c:pt>
                <c:pt idx="169">
                  <c:v>40.880000000000003</c:v>
                </c:pt>
                <c:pt idx="170">
                  <c:v>66.86</c:v>
                </c:pt>
                <c:pt idx="171">
                  <c:v>53.2</c:v>
                </c:pt>
                <c:pt idx="172">
                  <c:v>50.46</c:v>
                </c:pt>
                <c:pt idx="173">
                  <c:v>46.56</c:v>
                </c:pt>
                <c:pt idx="174">
                  <c:v>44.63</c:v>
                </c:pt>
                <c:pt idx="175">
                  <c:v>44.6</c:v>
                </c:pt>
                <c:pt idx="176">
                  <c:v>35.58</c:v>
                </c:pt>
                <c:pt idx="177">
                  <c:v>39.72</c:v>
                </c:pt>
                <c:pt idx="178">
                  <c:v>47.04</c:v>
                </c:pt>
                <c:pt idx="179">
                  <c:v>53</c:v>
                </c:pt>
                <c:pt idx="180">
                  <c:v>52.45</c:v>
                </c:pt>
                <c:pt idx="181">
                  <c:v>47.61</c:v>
                </c:pt>
                <c:pt idx="182">
                  <c:v>21.46</c:v>
                </c:pt>
                <c:pt idx="183">
                  <c:v>49.61</c:v>
                </c:pt>
                <c:pt idx="184">
                  <c:v>45.76</c:v>
                </c:pt>
                <c:pt idx="185">
                  <c:v>44.4</c:v>
                </c:pt>
                <c:pt idx="186">
                  <c:v>34.47</c:v>
                </c:pt>
                <c:pt idx="187">
                  <c:v>70.36</c:v>
                </c:pt>
                <c:pt idx="188">
                  <c:v>42.01</c:v>
                </c:pt>
                <c:pt idx="189">
                  <c:v>61.26</c:v>
                </c:pt>
                <c:pt idx="190">
                  <c:v>43.2</c:v>
                </c:pt>
                <c:pt idx="191">
                  <c:v>74.44</c:v>
                </c:pt>
                <c:pt idx="192">
                  <c:v>50.66</c:v>
                </c:pt>
                <c:pt idx="193">
                  <c:v>24.34</c:v>
                </c:pt>
                <c:pt idx="194">
                  <c:v>68.12</c:v>
                </c:pt>
                <c:pt idx="195">
                  <c:v>58.41</c:v>
                </c:pt>
                <c:pt idx="196">
                  <c:v>83.08</c:v>
                </c:pt>
                <c:pt idx="197">
                  <c:v>71.069999999999993</c:v>
                </c:pt>
                <c:pt idx="198">
                  <c:v>63.19</c:v>
                </c:pt>
                <c:pt idx="199">
                  <c:v>47.22</c:v>
                </c:pt>
                <c:pt idx="200">
                  <c:v>51.14</c:v>
                </c:pt>
                <c:pt idx="201">
                  <c:v>46.17</c:v>
                </c:pt>
                <c:pt idx="202">
                  <c:v>65.02</c:v>
                </c:pt>
                <c:pt idx="203">
                  <c:v>20.309999999999999</c:v>
                </c:pt>
                <c:pt idx="204">
                  <c:v>56.39</c:v>
                </c:pt>
                <c:pt idx="205">
                  <c:v>48.8</c:v>
                </c:pt>
                <c:pt idx="206">
                  <c:v>77.45</c:v>
                </c:pt>
                <c:pt idx="207">
                  <c:v>61.28</c:v>
                </c:pt>
                <c:pt idx="208">
                  <c:v>50.27</c:v>
                </c:pt>
                <c:pt idx="209">
                  <c:v>47.5</c:v>
                </c:pt>
                <c:pt idx="210">
                  <c:v>49.24</c:v>
                </c:pt>
                <c:pt idx="211">
                  <c:v>71.98</c:v>
                </c:pt>
                <c:pt idx="212">
                  <c:v>77.319999999999993</c:v>
                </c:pt>
                <c:pt idx="213">
                  <c:v>36.57</c:v>
                </c:pt>
                <c:pt idx="214">
                  <c:v>46.76</c:v>
                </c:pt>
                <c:pt idx="215">
                  <c:v>87.4</c:v>
                </c:pt>
                <c:pt idx="216">
                  <c:v>67.23</c:v>
                </c:pt>
                <c:pt idx="217">
                  <c:v>43.41</c:v>
                </c:pt>
                <c:pt idx="218">
                  <c:v>56.59</c:v>
                </c:pt>
                <c:pt idx="219">
                  <c:v>40.15</c:v>
                </c:pt>
                <c:pt idx="220">
                  <c:v>28.16</c:v>
                </c:pt>
                <c:pt idx="221">
                  <c:v>77.989999999999995</c:v>
                </c:pt>
                <c:pt idx="222">
                  <c:v>50.94</c:v>
                </c:pt>
                <c:pt idx="223">
                  <c:v>57.43</c:v>
                </c:pt>
                <c:pt idx="224">
                  <c:v>63.1</c:v>
                </c:pt>
                <c:pt idx="225">
                  <c:v>51.43</c:v>
                </c:pt>
                <c:pt idx="226">
                  <c:v>56.36</c:v>
                </c:pt>
                <c:pt idx="227">
                  <c:v>54.85</c:v>
                </c:pt>
                <c:pt idx="228">
                  <c:v>53.41</c:v>
                </c:pt>
                <c:pt idx="229">
                  <c:v>44.95</c:v>
                </c:pt>
                <c:pt idx="230">
                  <c:v>10.96</c:v>
                </c:pt>
                <c:pt idx="231">
                  <c:v>100.07</c:v>
                </c:pt>
                <c:pt idx="232">
                  <c:v>84.26</c:v>
                </c:pt>
                <c:pt idx="233">
                  <c:v>80.31</c:v>
                </c:pt>
                <c:pt idx="234">
                  <c:v>55.1</c:v>
                </c:pt>
                <c:pt idx="235">
                  <c:v>49.48</c:v>
                </c:pt>
                <c:pt idx="236">
                  <c:v>56.8</c:v>
                </c:pt>
                <c:pt idx="237">
                  <c:v>80.13</c:v>
                </c:pt>
                <c:pt idx="238">
                  <c:v>45.03</c:v>
                </c:pt>
                <c:pt idx="239">
                  <c:v>66.72</c:v>
                </c:pt>
                <c:pt idx="240">
                  <c:v>67.25</c:v>
                </c:pt>
                <c:pt idx="241">
                  <c:v>55.41</c:v>
                </c:pt>
                <c:pt idx="242">
                  <c:v>54.51</c:v>
                </c:pt>
                <c:pt idx="243">
                  <c:v>52.84</c:v>
                </c:pt>
                <c:pt idx="244">
                  <c:v>65.209999999999994</c:v>
                </c:pt>
                <c:pt idx="245">
                  <c:v>55.31</c:v>
                </c:pt>
                <c:pt idx="246">
                  <c:v>49.54</c:v>
                </c:pt>
                <c:pt idx="247">
                  <c:v>48.99</c:v>
                </c:pt>
                <c:pt idx="248">
                  <c:v>71.33</c:v>
                </c:pt>
                <c:pt idx="249">
                  <c:v>70.489999999999995</c:v>
                </c:pt>
                <c:pt idx="250">
                  <c:v>43.75</c:v>
                </c:pt>
                <c:pt idx="251">
                  <c:v>55.46</c:v>
                </c:pt>
                <c:pt idx="252">
                  <c:v>31.57</c:v>
                </c:pt>
                <c:pt idx="253">
                  <c:v>65.28</c:v>
                </c:pt>
                <c:pt idx="254">
                  <c:v>51.33</c:v>
                </c:pt>
                <c:pt idx="255">
                  <c:v>33.18</c:v>
                </c:pt>
                <c:pt idx="256">
                  <c:v>53.91</c:v>
                </c:pt>
                <c:pt idx="257">
                  <c:v>42.26</c:v>
                </c:pt>
                <c:pt idx="258">
                  <c:v>36.51</c:v>
                </c:pt>
                <c:pt idx="259">
                  <c:v>54.93</c:v>
                </c:pt>
                <c:pt idx="260">
                  <c:v>59.23</c:v>
                </c:pt>
                <c:pt idx="261">
                  <c:v>35.03</c:v>
                </c:pt>
                <c:pt idx="262">
                  <c:v>78.2</c:v>
                </c:pt>
                <c:pt idx="263">
                  <c:v>59.31</c:v>
                </c:pt>
                <c:pt idx="264">
                  <c:v>61.5</c:v>
                </c:pt>
                <c:pt idx="265">
                  <c:v>58.85</c:v>
                </c:pt>
                <c:pt idx="266">
                  <c:v>21.73</c:v>
                </c:pt>
                <c:pt idx="267">
                  <c:v>73.260000000000005</c:v>
                </c:pt>
                <c:pt idx="268">
                  <c:v>50.62</c:v>
                </c:pt>
                <c:pt idx="269">
                  <c:v>47.69</c:v>
                </c:pt>
                <c:pt idx="270">
                  <c:v>56.08</c:v>
                </c:pt>
                <c:pt idx="271">
                  <c:v>52.36</c:v>
                </c:pt>
                <c:pt idx="272">
                  <c:v>67.44</c:v>
                </c:pt>
                <c:pt idx="273">
                  <c:v>63.51</c:v>
                </c:pt>
                <c:pt idx="274">
                  <c:v>45.66</c:v>
                </c:pt>
                <c:pt idx="275">
                  <c:v>26.77</c:v>
                </c:pt>
                <c:pt idx="276">
                  <c:v>54.95</c:v>
                </c:pt>
                <c:pt idx="277">
                  <c:v>95.27</c:v>
                </c:pt>
                <c:pt idx="278">
                  <c:v>59.74</c:v>
                </c:pt>
                <c:pt idx="279">
                  <c:v>69.069999999999993</c:v>
                </c:pt>
                <c:pt idx="280">
                  <c:v>50.33</c:v>
                </c:pt>
                <c:pt idx="281">
                  <c:v>36.21</c:v>
                </c:pt>
                <c:pt idx="282">
                  <c:v>63.52</c:v>
                </c:pt>
                <c:pt idx="283">
                  <c:v>76.010000000000005</c:v>
                </c:pt>
                <c:pt idx="284">
                  <c:v>44.27</c:v>
                </c:pt>
                <c:pt idx="285">
                  <c:v>67.02</c:v>
                </c:pt>
                <c:pt idx="286">
                  <c:v>60.5</c:v>
                </c:pt>
                <c:pt idx="287">
                  <c:v>50.83</c:v>
                </c:pt>
                <c:pt idx="288">
                  <c:v>76.7</c:v>
                </c:pt>
                <c:pt idx="289">
                  <c:v>64.61</c:v>
                </c:pt>
                <c:pt idx="290">
                  <c:v>52.87</c:v>
                </c:pt>
                <c:pt idx="291">
                  <c:v>79.290000000000006</c:v>
                </c:pt>
                <c:pt idx="292">
                  <c:v>54.57</c:v>
                </c:pt>
                <c:pt idx="293">
                  <c:v>34.28</c:v>
                </c:pt>
                <c:pt idx="294">
                  <c:v>66.959999999999994</c:v>
                </c:pt>
                <c:pt idx="295">
                  <c:v>52.51</c:v>
                </c:pt>
                <c:pt idx="296">
                  <c:v>62.98</c:v>
                </c:pt>
                <c:pt idx="297">
                  <c:v>55.63</c:v>
                </c:pt>
                <c:pt idx="298">
                  <c:v>54.56</c:v>
                </c:pt>
                <c:pt idx="299">
                  <c:v>55.42</c:v>
                </c:pt>
                <c:pt idx="300">
                  <c:v>50.18</c:v>
                </c:pt>
                <c:pt idx="301">
                  <c:v>74.41</c:v>
                </c:pt>
                <c:pt idx="302">
                  <c:v>33.049999999999997</c:v>
                </c:pt>
                <c:pt idx="303">
                  <c:v>66.430000000000007</c:v>
                </c:pt>
                <c:pt idx="304">
                  <c:v>57.47</c:v>
                </c:pt>
                <c:pt idx="305">
                  <c:v>47.74</c:v>
                </c:pt>
                <c:pt idx="306">
                  <c:v>70.739999999999995</c:v>
                </c:pt>
                <c:pt idx="307">
                  <c:v>40.14</c:v>
                </c:pt>
                <c:pt idx="308">
                  <c:v>64.55</c:v>
                </c:pt>
                <c:pt idx="309">
                  <c:v>67.739999999999995</c:v>
                </c:pt>
                <c:pt idx="310">
                  <c:v>44.64</c:v>
                </c:pt>
                <c:pt idx="311">
                  <c:v>79.67</c:v>
                </c:pt>
                <c:pt idx="312">
                  <c:v>79.989999999999995</c:v>
                </c:pt>
                <c:pt idx="313">
                  <c:v>59.39</c:v>
                </c:pt>
                <c:pt idx="314">
                  <c:v>37.07</c:v>
                </c:pt>
                <c:pt idx="315">
                  <c:v>73.25</c:v>
                </c:pt>
                <c:pt idx="316">
                  <c:v>61.9</c:v>
                </c:pt>
                <c:pt idx="317">
                  <c:v>70.040000000000006</c:v>
                </c:pt>
                <c:pt idx="318">
                  <c:v>64.599999999999994</c:v>
                </c:pt>
                <c:pt idx="319">
                  <c:v>55.6</c:v>
                </c:pt>
                <c:pt idx="320">
                  <c:v>52.3</c:v>
                </c:pt>
                <c:pt idx="321">
                  <c:v>51.97</c:v>
                </c:pt>
                <c:pt idx="322">
                  <c:v>81.88</c:v>
                </c:pt>
                <c:pt idx="323">
                  <c:v>62.56</c:v>
                </c:pt>
                <c:pt idx="324">
                  <c:v>54.74</c:v>
                </c:pt>
                <c:pt idx="325">
                  <c:v>74.760000000000005</c:v>
                </c:pt>
                <c:pt idx="326">
                  <c:v>76.37</c:v>
                </c:pt>
                <c:pt idx="327">
                  <c:v>52.93</c:v>
                </c:pt>
                <c:pt idx="328">
                  <c:v>50.8</c:v>
                </c:pt>
                <c:pt idx="329">
                  <c:v>71.62</c:v>
                </c:pt>
                <c:pt idx="330">
                  <c:v>85.29</c:v>
                </c:pt>
                <c:pt idx="331">
                  <c:v>87.42</c:v>
                </c:pt>
                <c:pt idx="332">
                  <c:v>65.400000000000006</c:v>
                </c:pt>
                <c:pt idx="333">
                  <c:v>63.5</c:v>
                </c:pt>
                <c:pt idx="334">
                  <c:v>61.19</c:v>
                </c:pt>
                <c:pt idx="335">
                  <c:v>47.98</c:v>
                </c:pt>
                <c:pt idx="336">
                  <c:v>58.86</c:v>
                </c:pt>
                <c:pt idx="337">
                  <c:v>57.18</c:v>
                </c:pt>
                <c:pt idx="338">
                  <c:v>54.32</c:v>
                </c:pt>
                <c:pt idx="339">
                  <c:v>38.090000000000003</c:v>
                </c:pt>
                <c:pt idx="340">
                  <c:v>48.83</c:v>
                </c:pt>
                <c:pt idx="341">
                  <c:v>86.68</c:v>
                </c:pt>
                <c:pt idx="342">
                  <c:v>40.79</c:v>
                </c:pt>
                <c:pt idx="343">
                  <c:v>92.83</c:v>
                </c:pt>
                <c:pt idx="344">
                  <c:v>48.18</c:v>
                </c:pt>
                <c:pt idx="345">
                  <c:v>55.07</c:v>
                </c:pt>
                <c:pt idx="346">
                  <c:v>89.46</c:v>
                </c:pt>
                <c:pt idx="347">
                  <c:v>77.290000000000006</c:v>
                </c:pt>
                <c:pt idx="348">
                  <c:v>22.58</c:v>
                </c:pt>
                <c:pt idx="349">
                  <c:v>48.4</c:v>
                </c:pt>
                <c:pt idx="350">
                  <c:v>86.23</c:v>
                </c:pt>
                <c:pt idx="351">
                  <c:v>56.66</c:v>
                </c:pt>
                <c:pt idx="352">
                  <c:v>52.08</c:v>
                </c:pt>
                <c:pt idx="353">
                  <c:v>61.92</c:v>
                </c:pt>
                <c:pt idx="354">
                  <c:v>28.75</c:v>
                </c:pt>
                <c:pt idx="355">
                  <c:v>91.39</c:v>
                </c:pt>
                <c:pt idx="356">
                  <c:v>42.01</c:v>
                </c:pt>
                <c:pt idx="357">
                  <c:v>64.69</c:v>
                </c:pt>
                <c:pt idx="358">
                  <c:v>62.96</c:v>
                </c:pt>
                <c:pt idx="359">
                  <c:v>33.450000000000003</c:v>
                </c:pt>
                <c:pt idx="360">
                  <c:v>62.93</c:v>
                </c:pt>
                <c:pt idx="361">
                  <c:v>36.71</c:v>
                </c:pt>
                <c:pt idx="362">
                  <c:v>101.92</c:v>
                </c:pt>
                <c:pt idx="363">
                  <c:v>66.13</c:v>
                </c:pt>
                <c:pt idx="364">
                  <c:v>63.35</c:v>
                </c:pt>
                <c:pt idx="365">
                  <c:v>62.13</c:v>
                </c:pt>
                <c:pt idx="366">
                  <c:v>57.02</c:v>
                </c:pt>
                <c:pt idx="367">
                  <c:v>53.57</c:v>
                </c:pt>
                <c:pt idx="368">
                  <c:v>51.36</c:v>
                </c:pt>
                <c:pt idx="369">
                  <c:v>84.13</c:v>
                </c:pt>
                <c:pt idx="370">
                  <c:v>71.599999999999994</c:v>
                </c:pt>
                <c:pt idx="371">
                  <c:v>57</c:v>
                </c:pt>
                <c:pt idx="372">
                  <c:v>56.7</c:v>
                </c:pt>
                <c:pt idx="373">
                  <c:v>80.430000000000007</c:v>
                </c:pt>
                <c:pt idx="374">
                  <c:v>69.61</c:v>
                </c:pt>
                <c:pt idx="375">
                  <c:v>57.9</c:v>
                </c:pt>
                <c:pt idx="376">
                  <c:v>47.75</c:v>
                </c:pt>
                <c:pt idx="377">
                  <c:v>19.02</c:v>
                </c:pt>
                <c:pt idx="378">
                  <c:v>75.75</c:v>
                </c:pt>
                <c:pt idx="379">
                  <c:v>26.08</c:v>
                </c:pt>
                <c:pt idx="380">
                  <c:v>86.46</c:v>
                </c:pt>
                <c:pt idx="381">
                  <c:v>53.4</c:v>
                </c:pt>
                <c:pt idx="382">
                  <c:v>62.85</c:v>
                </c:pt>
                <c:pt idx="383">
                  <c:v>57.16</c:v>
                </c:pt>
                <c:pt idx="384">
                  <c:v>35.75</c:v>
                </c:pt>
                <c:pt idx="385">
                  <c:v>55.88</c:v>
                </c:pt>
                <c:pt idx="386">
                  <c:v>52.4</c:v>
                </c:pt>
                <c:pt idx="387">
                  <c:v>49.8</c:v>
                </c:pt>
                <c:pt idx="388">
                  <c:v>63.74</c:v>
                </c:pt>
                <c:pt idx="389">
                  <c:v>54.57</c:v>
                </c:pt>
                <c:pt idx="390">
                  <c:v>75.03</c:v>
                </c:pt>
                <c:pt idx="391">
                  <c:v>92.22</c:v>
                </c:pt>
                <c:pt idx="392">
                  <c:v>73.78</c:v>
                </c:pt>
                <c:pt idx="393">
                  <c:v>54.71</c:v>
                </c:pt>
                <c:pt idx="394">
                  <c:v>44.09</c:v>
                </c:pt>
                <c:pt idx="395">
                  <c:v>83.57</c:v>
                </c:pt>
                <c:pt idx="396">
                  <c:v>58.01</c:v>
                </c:pt>
                <c:pt idx="397">
                  <c:v>73.75</c:v>
                </c:pt>
                <c:pt idx="398">
                  <c:v>50.29</c:v>
                </c:pt>
                <c:pt idx="399">
                  <c:v>69.86</c:v>
                </c:pt>
                <c:pt idx="400">
                  <c:v>69.099999999999994</c:v>
                </c:pt>
                <c:pt idx="401">
                  <c:v>58.01</c:v>
                </c:pt>
                <c:pt idx="402">
                  <c:v>70.06</c:v>
                </c:pt>
                <c:pt idx="403">
                  <c:v>81.08</c:v>
                </c:pt>
                <c:pt idx="404">
                  <c:v>57.42</c:v>
                </c:pt>
                <c:pt idx="405">
                  <c:v>61.02</c:v>
                </c:pt>
                <c:pt idx="406">
                  <c:v>53.96</c:v>
                </c:pt>
                <c:pt idx="407">
                  <c:v>67.36</c:v>
                </c:pt>
                <c:pt idx="408">
                  <c:v>31.75</c:v>
                </c:pt>
                <c:pt idx="409">
                  <c:v>75.430000000000007</c:v>
                </c:pt>
                <c:pt idx="410">
                  <c:v>66.22</c:v>
                </c:pt>
                <c:pt idx="411">
                  <c:v>54.28</c:v>
                </c:pt>
                <c:pt idx="412">
                  <c:v>36.99</c:v>
                </c:pt>
                <c:pt idx="413">
                  <c:v>34.770000000000003</c:v>
                </c:pt>
                <c:pt idx="414">
                  <c:v>71.47</c:v>
                </c:pt>
                <c:pt idx="415">
                  <c:v>44.39</c:v>
                </c:pt>
                <c:pt idx="416">
                  <c:v>63.91</c:v>
                </c:pt>
                <c:pt idx="417">
                  <c:v>55.21</c:v>
                </c:pt>
                <c:pt idx="418">
                  <c:v>67.95</c:v>
                </c:pt>
                <c:pt idx="419">
                  <c:v>65.95</c:v>
                </c:pt>
                <c:pt idx="420">
                  <c:v>41.49</c:v>
                </c:pt>
                <c:pt idx="421">
                  <c:v>66.209999999999994</c:v>
                </c:pt>
                <c:pt idx="422">
                  <c:v>61.63</c:v>
                </c:pt>
                <c:pt idx="423">
                  <c:v>53.17</c:v>
                </c:pt>
                <c:pt idx="424">
                  <c:v>85.03</c:v>
                </c:pt>
                <c:pt idx="425">
                  <c:v>104.75</c:v>
                </c:pt>
                <c:pt idx="426">
                  <c:v>52.97</c:v>
                </c:pt>
                <c:pt idx="427">
                  <c:v>66.28</c:v>
                </c:pt>
                <c:pt idx="428">
                  <c:v>55.94</c:v>
                </c:pt>
                <c:pt idx="429">
                  <c:v>62.46</c:v>
                </c:pt>
                <c:pt idx="430">
                  <c:v>79.25</c:v>
                </c:pt>
                <c:pt idx="431">
                  <c:v>62.53</c:v>
                </c:pt>
                <c:pt idx="432">
                  <c:v>110.48</c:v>
                </c:pt>
                <c:pt idx="433">
                  <c:v>99.96</c:v>
                </c:pt>
                <c:pt idx="434">
                  <c:v>89.18</c:v>
                </c:pt>
                <c:pt idx="435">
                  <c:v>53.62</c:v>
                </c:pt>
                <c:pt idx="436">
                  <c:v>77.16</c:v>
                </c:pt>
                <c:pt idx="437">
                  <c:v>65.84</c:v>
                </c:pt>
                <c:pt idx="438">
                  <c:v>81.53</c:v>
                </c:pt>
                <c:pt idx="439">
                  <c:v>89.07</c:v>
                </c:pt>
                <c:pt idx="440">
                  <c:v>72.25</c:v>
                </c:pt>
                <c:pt idx="441">
                  <c:v>35.380000000000003</c:v>
                </c:pt>
                <c:pt idx="442">
                  <c:v>74.739999999999995</c:v>
                </c:pt>
                <c:pt idx="443">
                  <c:v>63.07</c:v>
                </c:pt>
                <c:pt idx="444">
                  <c:v>65.260000000000005</c:v>
                </c:pt>
                <c:pt idx="445">
                  <c:v>92.48</c:v>
                </c:pt>
                <c:pt idx="446">
                  <c:v>77.39</c:v>
                </c:pt>
                <c:pt idx="447">
                  <c:v>70.88</c:v>
                </c:pt>
                <c:pt idx="448">
                  <c:v>80.31</c:v>
                </c:pt>
                <c:pt idx="449">
                  <c:v>60.49</c:v>
                </c:pt>
                <c:pt idx="450">
                  <c:v>76.959999999999994</c:v>
                </c:pt>
                <c:pt idx="451">
                  <c:v>46.56</c:v>
                </c:pt>
                <c:pt idx="452">
                  <c:v>115.29</c:v>
                </c:pt>
                <c:pt idx="453">
                  <c:v>50.65</c:v>
                </c:pt>
                <c:pt idx="454">
                  <c:v>64.02</c:v>
                </c:pt>
                <c:pt idx="455">
                  <c:v>70.430000000000007</c:v>
                </c:pt>
                <c:pt idx="456">
                  <c:v>41.23</c:v>
                </c:pt>
                <c:pt idx="457">
                  <c:v>100.78</c:v>
                </c:pt>
                <c:pt idx="458">
                  <c:v>89.98</c:v>
                </c:pt>
                <c:pt idx="459">
                  <c:v>72.72</c:v>
                </c:pt>
                <c:pt idx="460">
                  <c:v>56.55</c:v>
                </c:pt>
                <c:pt idx="461">
                  <c:v>27.64</c:v>
                </c:pt>
                <c:pt idx="462">
                  <c:v>54.49</c:v>
                </c:pt>
                <c:pt idx="463">
                  <c:v>8.69</c:v>
                </c:pt>
                <c:pt idx="464">
                  <c:v>88.33</c:v>
                </c:pt>
                <c:pt idx="465">
                  <c:v>68.91</c:v>
                </c:pt>
                <c:pt idx="466">
                  <c:v>64.36</c:v>
                </c:pt>
                <c:pt idx="467">
                  <c:v>69.06</c:v>
                </c:pt>
                <c:pt idx="468">
                  <c:v>62.51</c:v>
                </c:pt>
                <c:pt idx="469">
                  <c:v>66.650000000000006</c:v>
                </c:pt>
                <c:pt idx="470">
                  <c:v>86.36</c:v>
                </c:pt>
                <c:pt idx="471">
                  <c:v>42.33</c:v>
                </c:pt>
                <c:pt idx="472">
                  <c:v>39.17</c:v>
                </c:pt>
                <c:pt idx="473">
                  <c:v>37.83</c:v>
                </c:pt>
                <c:pt idx="474">
                  <c:v>103.65</c:v>
                </c:pt>
                <c:pt idx="475">
                  <c:v>84.49</c:v>
                </c:pt>
                <c:pt idx="476">
                  <c:v>68.48</c:v>
                </c:pt>
                <c:pt idx="477">
                  <c:v>43.95</c:v>
                </c:pt>
                <c:pt idx="478">
                  <c:v>42.69</c:v>
                </c:pt>
                <c:pt idx="479">
                  <c:v>52.91</c:v>
                </c:pt>
                <c:pt idx="480">
                  <c:v>71.040000000000006</c:v>
                </c:pt>
                <c:pt idx="481">
                  <c:v>59.47</c:v>
                </c:pt>
                <c:pt idx="482">
                  <c:v>68.959999999999994</c:v>
                </c:pt>
                <c:pt idx="483">
                  <c:v>65.87</c:v>
                </c:pt>
                <c:pt idx="484">
                  <c:v>91.16</c:v>
                </c:pt>
                <c:pt idx="485">
                  <c:v>88.43</c:v>
                </c:pt>
                <c:pt idx="486">
                  <c:v>79.790000000000006</c:v>
                </c:pt>
                <c:pt idx="487">
                  <c:v>89.26</c:v>
                </c:pt>
                <c:pt idx="488">
                  <c:v>87.01</c:v>
                </c:pt>
                <c:pt idx="489">
                  <c:v>67.36</c:v>
                </c:pt>
                <c:pt idx="490">
                  <c:v>42.13</c:v>
                </c:pt>
                <c:pt idx="491">
                  <c:v>72.78</c:v>
                </c:pt>
                <c:pt idx="492">
                  <c:v>66.56</c:v>
                </c:pt>
                <c:pt idx="493">
                  <c:v>73.91</c:v>
                </c:pt>
                <c:pt idx="494">
                  <c:v>70.61</c:v>
                </c:pt>
                <c:pt idx="495">
                  <c:v>68.069999999999993</c:v>
                </c:pt>
                <c:pt idx="496">
                  <c:v>83.38</c:v>
                </c:pt>
                <c:pt idx="497">
                  <c:v>72.92</c:v>
                </c:pt>
                <c:pt idx="498">
                  <c:v>88.53</c:v>
                </c:pt>
                <c:pt idx="499">
                  <c:v>61.87</c:v>
                </c:pt>
                <c:pt idx="500">
                  <c:v>91.53</c:v>
                </c:pt>
                <c:pt idx="501">
                  <c:v>115.37</c:v>
                </c:pt>
                <c:pt idx="502">
                  <c:v>68.760000000000005</c:v>
                </c:pt>
                <c:pt idx="503">
                  <c:v>76.27</c:v>
                </c:pt>
                <c:pt idx="504">
                  <c:v>66.16</c:v>
                </c:pt>
                <c:pt idx="505">
                  <c:v>55.5</c:v>
                </c:pt>
                <c:pt idx="506">
                  <c:v>73.25</c:v>
                </c:pt>
                <c:pt idx="507">
                  <c:v>85.79</c:v>
                </c:pt>
                <c:pt idx="508">
                  <c:v>47.3</c:v>
                </c:pt>
                <c:pt idx="509">
                  <c:v>77.150000000000006</c:v>
                </c:pt>
                <c:pt idx="510">
                  <c:v>118.54</c:v>
                </c:pt>
                <c:pt idx="511">
                  <c:v>72.44</c:v>
                </c:pt>
                <c:pt idx="512">
                  <c:v>49.92</c:v>
                </c:pt>
                <c:pt idx="513">
                  <c:v>79.349999999999994</c:v>
                </c:pt>
                <c:pt idx="514">
                  <c:v>53.51</c:v>
                </c:pt>
                <c:pt idx="515">
                  <c:v>72.540000000000006</c:v>
                </c:pt>
                <c:pt idx="516">
                  <c:v>47.37</c:v>
                </c:pt>
                <c:pt idx="517">
                  <c:v>60.12</c:v>
                </c:pt>
                <c:pt idx="518">
                  <c:v>61.06</c:v>
                </c:pt>
                <c:pt idx="519">
                  <c:v>78.27</c:v>
                </c:pt>
                <c:pt idx="520">
                  <c:v>68.38</c:v>
                </c:pt>
                <c:pt idx="521">
                  <c:v>77.069999999999993</c:v>
                </c:pt>
                <c:pt idx="522">
                  <c:v>68.260000000000005</c:v>
                </c:pt>
                <c:pt idx="523">
                  <c:v>89.08</c:v>
                </c:pt>
                <c:pt idx="524">
                  <c:v>77.84</c:v>
                </c:pt>
                <c:pt idx="525">
                  <c:v>29.32</c:v>
                </c:pt>
                <c:pt idx="526">
                  <c:v>67.66</c:v>
                </c:pt>
                <c:pt idx="527">
                  <c:v>68.02</c:v>
                </c:pt>
                <c:pt idx="528">
                  <c:v>67.150000000000006</c:v>
                </c:pt>
                <c:pt idx="529">
                  <c:v>52.07</c:v>
                </c:pt>
                <c:pt idx="530">
                  <c:v>78.58</c:v>
                </c:pt>
                <c:pt idx="531">
                  <c:v>69.040000000000006</c:v>
                </c:pt>
                <c:pt idx="532">
                  <c:v>59.62</c:v>
                </c:pt>
                <c:pt idx="533">
                  <c:v>73.87</c:v>
                </c:pt>
                <c:pt idx="534">
                  <c:v>65.19</c:v>
                </c:pt>
                <c:pt idx="535">
                  <c:v>72.56</c:v>
                </c:pt>
                <c:pt idx="536">
                  <c:v>76.39</c:v>
                </c:pt>
                <c:pt idx="537">
                  <c:v>73.45</c:v>
                </c:pt>
                <c:pt idx="538">
                  <c:v>72.510000000000005</c:v>
                </c:pt>
                <c:pt idx="539">
                  <c:v>83.15</c:v>
                </c:pt>
                <c:pt idx="540">
                  <c:v>67.63</c:v>
                </c:pt>
                <c:pt idx="541">
                  <c:v>62.31</c:v>
                </c:pt>
                <c:pt idx="542">
                  <c:v>83.76</c:v>
                </c:pt>
                <c:pt idx="543">
                  <c:v>94.26</c:v>
                </c:pt>
                <c:pt idx="544">
                  <c:v>82.68</c:v>
                </c:pt>
                <c:pt idx="545">
                  <c:v>74.239999999999995</c:v>
                </c:pt>
                <c:pt idx="546">
                  <c:v>91.7</c:v>
                </c:pt>
                <c:pt idx="547">
                  <c:v>77.36</c:v>
                </c:pt>
                <c:pt idx="548">
                  <c:v>82.31</c:v>
                </c:pt>
                <c:pt idx="549">
                  <c:v>66.709999999999994</c:v>
                </c:pt>
                <c:pt idx="550">
                  <c:v>55.73</c:v>
                </c:pt>
                <c:pt idx="551">
                  <c:v>81.64</c:v>
                </c:pt>
                <c:pt idx="552">
                  <c:v>63.57</c:v>
                </c:pt>
                <c:pt idx="553">
                  <c:v>55.3</c:v>
                </c:pt>
                <c:pt idx="554">
                  <c:v>76.55</c:v>
                </c:pt>
                <c:pt idx="555">
                  <c:v>78.83</c:v>
                </c:pt>
                <c:pt idx="556">
                  <c:v>58.26</c:v>
                </c:pt>
                <c:pt idx="557">
                  <c:v>77.760000000000005</c:v>
                </c:pt>
                <c:pt idx="558">
                  <c:v>84.48</c:v>
                </c:pt>
                <c:pt idx="559">
                  <c:v>70.38</c:v>
                </c:pt>
                <c:pt idx="560">
                  <c:v>96.31</c:v>
                </c:pt>
                <c:pt idx="561">
                  <c:v>90.42</c:v>
                </c:pt>
                <c:pt idx="562">
                  <c:v>79.900000000000006</c:v>
                </c:pt>
                <c:pt idx="563">
                  <c:v>75.459999999999994</c:v>
                </c:pt>
                <c:pt idx="564">
                  <c:v>61.2</c:v>
                </c:pt>
                <c:pt idx="565">
                  <c:v>90.99</c:v>
                </c:pt>
                <c:pt idx="566">
                  <c:v>75.08</c:v>
                </c:pt>
                <c:pt idx="567">
                  <c:v>80.47</c:v>
                </c:pt>
                <c:pt idx="568">
                  <c:v>47.91</c:v>
                </c:pt>
                <c:pt idx="569">
                  <c:v>73.02</c:v>
                </c:pt>
                <c:pt idx="570">
                  <c:v>57.6</c:v>
                </c:pt>
                <c:pt idx="571">
                  <c:v>67.12</c:v>
                </c:pt>
                <c:pt idx="572">
                  <c:v>80.03</c:v>
                </c:pt>
                <c:pt idx="573">
                  <c:v>77.38</c:v>
                </c:pt>
                <c:pt idx="574">
                  <c:v>57.83</c:v>
                </c:pt>
                <c:pt idx="575">
                  <c:v>71.150000000000006</c:v>
                </c:pt>
                <c:pt idx="576">
                  <c:v>79.55</c:v>
                </c:pt>
                <c:pt idx="577">
                  <c:v>92.89</c:v>
                </c:pt>
                <c:pt idx="578">
                  <c:v>67.069999999999993</c:v>
                </c:pt>
                <c:pt idx="579">
                  <c:v>53.41</c:v>
                </c:pt>
                <c:pt idx="580">
                  <c:v>63.34</c:v>
                </c:pt>
                <c:pt idx="581">
                  <c:v>55.39</c:v>
                </c:pt>
                <c:pt idx="582">
                  <c:v>93.01</c:v>
                </c:pt>
                <c:pt idx="583">
                  <c:v>132.72999999999999</c:v>
                </c:pt>
                <c:pt idx="584">
                  <c:v>100.72</c:v>
                </c:pt>
                <c:pt idx="585">
                  <c:v>82.07</c:v>
                </c:pt>
                <c:pt idx="586">
                  <c:v>94.71</c:v>
                </c:pt>
                <c:pt idx="587">
                  <c:v>74.14</c:v>
                </c:pt>
                <c:pt idx="588">
                  <c:v>89.32</c:v>
                </c:pt>
                <c:pt idx="589">
                  <c:v>51.12</c:v>
                </c:pt>
                <c:pt idx="590">
                  <c:v>81.569999999999993</c:v>
                </c:pt>
                <c:pt idx="591">
                  <c:v>109.79</c:v>
                </c:pt>
                <c:pt idx="592">
                  <c:v>108.17</c:v>
                </c:pt>
                <c:pt idx="593">
                  <c:v>42.98</c:v>
                </c:pt>
                <c:pt idx="594">
                  <c:v>72.349999999999994</c:v>
                </c:pt>
                <c:pt idx="595">
                  <c:v>84.28</c:v>
                </c:pt>
                <c:pt idx="596">
                  <c:v>77.92</c:v>
                </c:pt>
                <c:pt idx="597">
                  <c:v>51.89</c:v>
                </c:pt>
                <c:pt idx="598">
                  <c:v>77.400000000000006</c:v>
                </c:pt>
                <c:pt idx="599">
                  <c:v>62.71</c:v>
                </c:pt>
                <c:pt idx="600">
                  <c:v>80.16</c:v>
                </c:pt>
                <c:pt idx="601">
                  <c:v>81.680000000000007</c:v>
                </c:pt>
                <c:pt idx="602">
                  <c:v>80.989999999999995</c:v>
                </c:pt>
                <c:pt idx="603">
                  <c:v>78.3</c:v>
                </c:pt>
                <c:pt idx="604">
                  <c:v>50.61</c:v>
                </c:pt>
                <c:pt idx="605">
                  <c:v>83.73</c:v>
                </c:pt>
                <c:pt idx="606">
                  <c:v>92.22</c:v>
                </c:pt>
                <c:pt idx="607">
                  <c:v>78.39</c:v>
                </c:pt>
                <c:pt idx="608">
                  <c:v>75.739999999999995</c:v>
                </c:pt>
                <c:pt idx="609">
                  <c:v>64.83</c:v>
                </c:pt>
                <c:pt idx="610">
                  <c:v>98.34</c:v>
                </c:pt>
                <c:pt idx="611">
                  <c:v>88.16</c:v>
                </c:pt>
                <c:pt idx="612">
                  <c:v>87.63</c:v>
                </c:pt>
                <c:pt idx="613">
                  <c:v>45.79</c:v>
                </c:pt>
                <c:pt idx="614">
                  <c:v>89.49</c:v>
                </c:pt>
                <c:pt idx="615">
                  <c:v>103.09</c:v>
                </c:pt>
                <c:pt idx="616">
                  <c:v>85.37</c:v>
                </c:pt>
                <c:pt idx="617">
                  <c:v>80</c:v>
                </c:pt>
                <c:pt idx="618">
                  <c:v>51.82</c:v>
                </c:pt>
                <c:pt idx="619">
                  <c:v>99.73</c:v>
                </c:pt>
                <c:pt idx="620">
                  <c:v>82.02</c:v>
                </c:pt>
                <c:pt idx="621">
                  <c:v>77.13</c:v>
                </c:pt>
                <c:pt idx="622">
                  <c:v>63.32</c:v>
                </c:pt>
                <c:pt idx="623">
                  <c:v>100.82</c:v>
                </c:pt>
                <c:pt idx="624">
                  <c:v>67.2</c:v>
                </c:pt>
                <c:pt idx="625">
                  <c:v>99.6</c:v>
                </c:pt>
                <c:pt idx="626">
                  <c:v>92.43</c:v>
                </c:pt>
                <c:pt idx="627">
                  <c:v>87.75</c:v>
                </c:pt>
                <c:pt idx="628">
                  <c:v>56.37</c:v>
                </c:pt>
                <c:pt idx="629">
                  <c:v>118.49</c:v>
                </c:pt>
                <c:pt idx="630">
                  <c:v>95.39</c:v>
                </c:pt>
                <c:pt idx="631">
                  <c:v>64.5</c:v>
                </c:pt>
                <c:pt idx="632">
                  <c:v>93.63</c:v>
                </c:pt>
                <c:pt idx="633">
                  <c:v>105.6</c:v>
                </c:pt>
                <c:pt idx="634">
                  <c:v>78.2</c:v>
                </c:pt>
                <c:pt idx="635">
                  <c:v>74.97</c:v>
                </c:pt>
                <c:pt idx="636">
                  <c:v>114.96</c:v>
                </c:pt>
                <c:pt idx="637">
                  <c:v>95.17</c:v>
                </c:pt>
                <c:pt idx="638">
                  <c:v>79.23</c:v>
                </c:pt>
                <c:pt idx="639">
                  <c:v>95.73</c:v>
                </c:pt>
                <c:pt idx="640">
                  <c:v>83.21</c:v>
                </c:pt>
                <c:pt idx="641">
                  <c:v>94.07</c:v>
                </c:pt>
                <c:pt idx="642">
                  <c:v>92.08</c:v>
                </c:pt>
                <c:pt idx="643">
                  <c:v>83.86</c:v>
                </c:pt>
                <c:pt idx="644">
                  <c:v>90.89</c:v>
                </c:pt>
                <c:pt idx="645">
                  <c:v>79.36</c:v>
                </c:pt>
                <c:pt idx="646">
                  <c:v>57.01</c:v>
                </c:pt>
                <c:pt idx="647">
                  <c:v>103.88</c:v>
                </c:pt>
                <c:pt idx="648">
                  <c:v>109.42</c:v>
                </c:pt>
                <c:pt idx="649">
                  <c:v>96.74</c:v>
                </c:pt>
                <c:pt idx="650">
                  <c:v>90.66</c:v>
                </c:pt>
                <c:pt idx="651">
                  <c:v>110.81</c:v>
                </c:pt>
                <c:pt idx="652">
                  <c:v>105.61</c:v>
                </c:pt>
                <c:pt idx="653">
                  <c:v>100.55</c:v>
                </c:pt>
                <c:pt idx="654">
                  <c:v>99.72</c:v>
                </c:pt>
                <c:pt idx="655">
                  <c:v>120.86</c:v>
                </c:pt>
                <c:pt idx="656">
                  <c:v>89.68</c:v>
                </c:pt>
                <c:pt idx="657">
                  <c:v>88.57</c:v>
                </c:pt>
                <c:pt idx="658">
                  <c:v>91.79</c:v>
                </c:pt>
                <c:pt idx="659">
                  <c:v>67.31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5-4B95-8AD1-9366ADE9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385088"/>
        <c:axId val="1541381728"/>
      </c:scatterChart>
      <c:valAx>
        <c:axId val="1541385088"/>
        <c:scaling>
          <c:orientation val="minMax"/>
          <c:max val="1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passe sur le site (en ?)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381728"/>
        <c:crosses val="autoZero"/>
        <c:crossBetween val="midCat"/>
        <c:majorUnit val="2"/>
        <c:minorUnit val="1"/>
      </c:valAx>
      <c:valAx>
        <c:axId val="154138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38508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83957171206431E-2"/>
          <c:y val="0.15307804944222858"/>
          <c:w val="0.90180710571486666"/>
          <c:h val="0.70234498432235537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9-4B9D-87CD-704BDC154DE0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9-4B9D-87CD-704BDC154DE0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79-4B9D-87CD-704BDC154DE0}"/>
            </c:ext>
          </c:extLst>
        </c:ser>
        <c:ser>
          <c:idx val="3"/>
          <c:order val="3"/>
          <c:tx>
            <c:strRef>
              <c:f>'Tableau de bord'!$B$11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bord'!$C$11:$H$11</c:f>
              <c:numCache>
                <c:formatCode>#\ ##0\ "€"</c:formatCode>
                <c:ptCount val="6"/>
                <c:pt idx="0">
                  <c:v>27400</c:v>
                </c:pt>
                <c:pt idx="1">
                  <c:v>31279</c:v>
                </c:pt>
                <c:pt idx="2">
                  <c:v>34547</c:v>
                </c:pt>
                <c:pt idx="3">
                  <c:v>35946</c:v>
                </c:pt>
                <c:pt idx="4">
                  <c:v>35912</c:v>
                </c:pt>
                <c:pt idx="5">
                  <c:v>39662.719999999979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79-4B9D-87CD-704BDC15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074575"/>
        <c:axId val="1092087055"/>
      </c:lineChart>
      <c:catAx>
        <c:axId val="109207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087055"/>
        <c:crosses val="autoZero"/>
        <c:auto val="1"/>
        <c:lblAlgn val="ctr"/>
        <c:lblOffset val="100"/>
        <c:noMultiLvlLbl val="0"/>
      </c:catAx>
      <c:valAx>
        <c:axId val="10920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D'AFFAIRES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9.3937204088561325E-3"/>
              <c:y val="0.30129402185483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0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426888294063418"/>
          <c:y val="4.4221487420897966E-2"/>
          <c:w val="0.55853517945245679"/>
          <c:h val="7.7526813916611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93114846681047E-2"/>
          <c:y val="0.107605585411388"/>
          <c:w val="0.90199719886143792"/>
          <c:h val="0.80108853117994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8-4E36-9BAD-350D5D33AA68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8-4E36-9BAD-350D5D33AA68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8-4E36-9BAD-350D5D33AA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53054303"/>
        <c:axId val="1053037023"/>
      </c:barChart>
      <c:lineChart>
        <c:grouping val="standard"/>
        <c:varyColors val="0"/>
        <c:ser>
          <c:idx val="3"/>
          <c:order val="3"/>
          <c:tx>
            <c:strRef>
              <c:f>'Tableau de bord'!$B$11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bord'!$C$11:$H$11</c:f>
              <c:numCache>
                <c:formatCode>#\ ##0\ "€"</c:formatCode>
                <c:ptCount val="6"/>
                <c:pt idx="0">
                  <c:v>27400</c:v>
                </c:pt>
                <c:pt idx="1">
                  <c:v>31279</c:v>
                </c:pt>
                <c:pt idx="2">
                  <c:v>34547</c:v>
                </c:pt>
                <c:pt idx="3">
                  <c:v>35946</c:v>
                </c:pt>
                <c:pt idx="4">
                  <c:v>35912</c:v>
                </c:pt>
                <c:pt idx="5">
                  <c:v>39662.719999999979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38-4E36-9BAD-350D5D33AA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3054303"/>
        <c:axId val="1053037023"/>
      </c:lineChart>
      <c:catAx>
        <c:axId val="105305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3037023"/>
        <c:crosses val="autoZero"/>
        <c:auto val="1"/>
        <c:lblAlgn val="ctr"/>
        <c:lblOffset val="100"/>
        <c:noMultiLvlLbl val="0"/>
      </c:catAx>
      <c:valAx>
        <c:axId val="10530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d'affaires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3.5319788342342211E-3"/>
              <c:y val="0.38662386468908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305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[Josy_ElicesDiez_2_clients_affilies_102025.xlsx]DATA Février (clients affiliés)!Tableau croisé dynamique60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Février (clients affiliés)'!$U$3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6B-4426-ACF7-885E0A0783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6B-4426-ACF7-885E0A078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Février (clients affiliés)'!$T$4:$T$6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'DATA Février (clients affiliés)'!$U$4:$U$6</c:f>
              <c:numCache>
                <c:formatCode>_("€"* #,##0.00_);_("€"* \(#,##0.00\);_("€"* "-"??_);_(@_)</c:formatCode>
                <c:ptCount val="2"/>
                <c:pt idx="0">
                  <c:v>14763.899999999992</c:v>
                </c:pt>
                <c:pt idx="1">
                  <c:v>24898.820000000011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6B-4426-ACF7-885E0A07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[Josy_ElicesDiez_2_clients_affilies_102025.xlsx]Feuil23!Tableau croisé dynamique81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Feuil23!$B$3</c:f>
              <c:strCache>
                <c:ptCount val="1"/>
                <c:pt idx="0">
                  <c:v>Somme de Total général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Feuil23!$B$4:$B$14</c:f>
              <c:numCache>
                <c:formatCode>_("€"* #,##0.00_);_("€"* \(#,##0.00\);_("€"* "-"??_);_(@_)</c:formatCode>
                <c:ptCount val="10"/>
                <c:pt idx="0">
                  <c:v>1510.3300000000002</c:v>
                </c:pt>
                <c:pt idx="1">
                  <c:v>1397.15</c:v>
                </c:pt>
                <c:pt idx="2">
                  <c:v>1338.7499999999998</c:v>
                </c:pt>
                <c:pt idx="3">
                  <c:v>1234.8499999999999</c:v>
                </c:pt>
                <c:pt idx="4">
                  <c:v>1147.9499999999998</c:v>
                </c:pt>
                <c:pt idx="5">
                  <c:v>1122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7-4C65-BEA3-D1E60FCEDBC9}"/>
            </c:ext>
          </c:extLst>
        </c:ser>
        <c:ser>
          <c:idx val="1"/>
          <c:order val="1"/>
          <c:tx>
            <c:strRef>
              <c:f>Feuil23!$C$3</c:f>
              <c:strCache>
                <c:ptCount val="1"/>
                <c:pt idx="0">
                  <c:v>Somme de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Feuil23!$C$4:$C$14</c:f>
              <c:numCache>
                <c:formatCode>_("€"* #,##0.00_);_("€"* \(#,##0.00\);_("€"* "-"??_);_(@_)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7-4C65-BEA3-D1E60FCEDBC9}"/>
            </c:ext>
          </c:extLst>
        </c:ser>
        <c:ser>
          <c:idx val="2"/>
          <c:order val="2"/>
          <c:tx>
            <c:strRef>
              <c:f>Feuil23!$D$3</c:f>
              <c:strCache>
                <c:ptCount val="1"/>
                <c:pt idx="0">
                  <c:v>Somme de bien de conso.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Feuil23!$D$4:$D$14</c:f>
              <c:numCache>
                <c:formatCode>_("€"* #,##0.00_);_("€"* \(#,##0.00\);_("€"* "-"??_);_(@_)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7-4C65-BEA3-D1E60FCED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814559"/>
        <c:axId val="1253826559"/>
      </c:barChart>
      <c:catAx>
        <c:axId val="1253814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826559"/>
        <c:crosses val="autoZero"/>
        <c:auto val="1"/>
        <c:lblAlgn val="ctr"/>
        <c:lblOffset val="100"/>
        <c:noMultiLvlLbl val="0"/>
      </c:catAx>
      <c:valAx>
        <c:axId val="12538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VENTES</a:t>
                </a:r>
                <a:r>
                  <a:rPr lang="fr-FR" baseline="0"/>
                  <a:t> EN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81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[Josy_ElicesDiez_2_clients_affilies_102025.xlsx]DATA Février (clients affiliés)!Tableau croisé dynamique60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Février (clients affiliés)'!$U$3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F-4652-9E89-24E137F026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F-4652-9E89-24E137F0260B}"/>
              </c:ext>
            </c:extLst>
          </c:dPt>
          <c:cat>
            <c:strRef>
              <c:f>'DATA Février (clients affiliés)'!$T$4:$T$6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'DATA Février (clients affiliés)'!$U$4:$U$6</c:f>
              <c:numCache>
                <c:formatCode>_("€"* #,##0.00_);_("€"* \(#,##0.00\);_("€"* "-"??_);_(@_)</c:formatCode>
                <c:ptCount val="2"/>
                <c:pt idx="0">
                  <c:v>14763.899999999992</c:v>
                </c:pt>
                <c:pt idx="1">
                  <c:v>24898.820000000011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F-4652-9E89-24E137F0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Somme de nourriture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15</c:v>
              </c:pt>
              <c:pt idx="1">
                <c:v>20</c:v>
              </c:pt>
              <c:pt idx="2">
                <c:v>22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31</c:v>
              </c:pt>
              <c:pt idx="7">
                <c:v>35</c:v>
              </c:pt>
              <c:pt idx="8">
                <c:v>36</c:v>
              </c:pt>
              <c:pt idx="9">
                <c:v>38</c:v>
              </c:pt>
            </c:strLit>
          </c:cat>
          <c:val>
            <c:numLit>
              <c:formatCode>General</c:formatCode>
              <c:ptCount val="10"/>
              <c:pt idx="0">
                <c:v>872.34</c:v>
              </c:pt>
              <c:pt idx="1">
                <c:v>779.14999999999986</c:v>
              </c:pt>
              <c:pt idx="2">
                <c:v>743.33</c:v>
              </c:pt>
              <c:pt idx="3">
                <c:v>878.62000000000012</c:v>
              </c:pt>
              <c:pt idx="4">
                <c:v>1028.4100000000001</c:v>
              </c:pt>
              <c:pt idx="5">
                <c:v>719.2399999999999</c:v>
              </c:pt>
              <c:pt idx="6">
                <c:v>525.25</c:v>
              </c:pt>
              <c:pt idx="7">
                <c:v>639.66000000000008</c:v>
              </c:pt>
              <c:pt idx="8">
                <c:v>729.21</c:v>
              </c:pt>
              <c:pt idx="9">
                <c:v>526.25</c:v>
              </c:pt>
            </c:numLit>
          </c:val>
          <c:extLst>
            <c:ext xmlns:c16="http://schemas.microsoft.com/office/drawing/2014/chart" uri="{C3380CC4-5D6E-409C-BE32-E72D297353CC}">
              <c16:uniqueId val="{00000000-370A-41DE-9D74-EDFA53990534}"/>
            </c:ext>
          </c:extLst>
        </c:ser>
        <c:ser>
          <c:idx val="1"/>
          <c:order val="1"/>
          <c:tx>
            <c:v>Somme de bien de conso.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15</c:v>
              </c:pt>
              <c:pt idx="1">
                <c:v>20</c:v>
              </c:pt>
              <c:pt idx="2">
                <c:v>22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31</c:v>
              </c:pt>
              <c:pt idx="7">
                <c:v>35</c:v>
              </c:pt>
              <c:pt idx="8">
                <c:v>36</c:v>
              </c:pt>
              <c:pt idx="9">
                <c:v>38</c:v>
              </c:pt>
            </c:strLit>
          </c:cat>
          <c:val>
            <c:numLit>
              <c:formatCode>General</c:formatCode>
              <c:ptCount val="10"/>
              <c:pt idx="0">
                <c:v>190.66</c:v>
              </c:pt>
              <c:pt idx="1">
                <c:v>368.79999999999995</c:v>
              </c:pt>
              <c:pt idx="2">
                <c:v>291.37</c:v>
              </c:pt>
              <c:pt idx="3">
                <c:v>631.71</c:v>
              </c:pt>
              <c:pt idx="4">
                <c:v>368.73999999999995</c:v>
              </c:pt>
              <c:pt idx="5">
                <c:v>619.50999999999988</c:v>
              </c:pt>
              <c:pt idx="6">
                <c:v>589.95999999999992</c:v>
              </c:pt>
              <c:pt idx="7">
                <c:v>482.34000000000003</c:v>
              </c:pt>
              <c:pt idx="8">
                <c:v>505.64</c:v>
              </c:pt>
              <c:pt idx="9">
                <c:v>568.76</c:v>
              </c:pt>
            </c:numLit>
          </c:val>
          <c:extLst>
            <c:ext xmlns:c16="http://schemas.microsoft.com/office/drawing/2014/chart" uri="{C3380CC4-5D6E-409C-BE32-E72D297353CC}">
              <c16:uniqueId val="{00000001-370A-41DE-9D74-EDFA53990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897487"/>
        <c:axId val="1105898927"/>
      </c:barChart>
      <c:catAx>
        <c:axId val="110589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898927"/>
        <c:crosses val="autoZero"/>
        <c:auto val="1"/>
        <c:lblAlgn val="ctr"/>
        <c:lblOffset val="100"/>
        <c:noMultiLvlLbl val="0"/>
      </c:catAx>
      <c:valAx>
        <c:axId val="11058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Ventes</a:t>
                </a:r>
                <a:r>
                  <a:rPr lang="fr-FR" baseline="0"/>
                  <a:t> en €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89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[Josy_ElicesDiez_2_clients_affilies_102025.xlsx]Feuil23!Tableau croisé dynamique81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Feuil23!$B$3</c:f>
              <c:strCache>
                <c:ptCount val="1"/>
                <c:pt idx="0">
                  <c:v>Somme de Total général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Feuil23!$B$4:$B$14</c:f>
              <c:numCache>
                <c:formatCode>_("€"* #,##0.00_);_("€"* \(#,##0.00\);_("€"* "-"??_);_(@_)</c:formatCode>
                <c:ptCount val="10"/>
                <c:pt idx="0">
                  <c:v>1510.3300000000002</c:v>
                </c:pt>
                <c:pt idx="1">
                  <c:v>1397.15</c:v>
                </c:pt>
                <c:pt idx="2">
                  <c:v>1338.7499999999998</c:v>
                </c:pt>
                <c:pt idx="3">
                  <c:v>1234.8499999999999</c:v>
                </c:pt>
                <c:pt idx="4">
                  <c:v>1147.9499999999998</c:v>
                </c:pt>
                <c:pt idx="5">
                  <c:v>1122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03-4399-B085-B486CBD98B49}"/>
            </c:ext>
          </c:extLst>
        </c:ser>
        <c:ser>
          <c:idx val="1"/>
          <c:order val="1"/>
          <c:tx>
            <c:strRef>
              <c:f>Feuil23!$C$3</c:f>
              <c:strCache>
                <c:ptCount val="1"/>
                <c:pt idx="0">
                  <c:v>Somme de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Feuil23!$C$4:$C$14</c:f>
              <c:numCache>
                <c:formatCode>_("€"* #,##0.00_);_("€"* \(#,##0.00\);_("€"* "-"??_);_(@_)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03-4399-B085-B486CBD98B49}"/>
            </c:ext>
          </c:extLst>
        </c:ser>
        <c:ser>
          <c:idx val="2"/>
          <c:order val="2"/>
          <c:tx>
            <c:strRef>
              <c:f>Feuil23!$D$3</c:f>
              <c:strCache>
                <c:ptCount val="1"/>
                <c:pt idx="0">
                  <c:v>Somme de bien de conso.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Feuil23!$A$4:$A$14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Feuil23!$D$4:$D$14</c:f>
              <c:numCache>
                <c:formatCode>_("€"* #,##0.00_);_("€"* \(#,##0.00\);_("€"* "-"??_);_(@_)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403-4399-B085-B486CBD98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814559"/>
        <c:axId val="1253826559"/>
      </c:barChart>
      <c:catAx>
        <c:axId val="12538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826559"/>
        <c:crosses val="autoZero"/>
        <c:auto val="1"/>
        <c:lblAlgn val="ctr"/>
        <c:lblOffset val="100"/>
        <c:noMultiLvlLbl val="0"/>
      </c:catAx>
      <c:valAx>
        <c:axId val="12538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81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571500</xdr:colOff>
      <xdr:row>96</xdr:row>
      <xdr:rowOff>68037</xdr:rowOff>
    </xdr:from>
    <xdr:to>
      <xdr:col>9</xdr:col>
      <xdr:colOff>666750</xdr:colOff>
      <xdr:row>116</xdr:row>
      <xdr:rowOff>40822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8D3169A-F282-4941-B455-495808B9F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217714</xdr:colOff>
      <xdr:row>21</xdr:row>
      <xdr:rowOff>108858</xdr:rowOff>
    </xdr:from>
    <xdr:to>
      <xdr:col>9</xdr:col>
      <xdr:colOff>925285</xdr:colOff>
      <xdr:row>41</xdr:row>
      <xdr:rowOff>176893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E27AFA8-D527-F69D-B91F-01502554A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204108</xdr:colOff>
      <xdr:row>46</xdr:row>
      <xdr:rowOff>2721</xdr:rowOff>
    </xdr:from>
    <xdr:to>
      <xdr:col>9</xdr:col>
      <xdr:colOff>966106</xdr:colOff>
      <xdr:row>66</xdr:row>
      <xdr:rowOff>108858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35645C37-7ADD-0189-4B68-8F7F35DEB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217715</xdr:colOff>
      <xdr:row>120</xdr:row>
      <xdr:rowOff>163285</xdr:rowOff>
    </xdr:from>
    <xdr:to>
      <xdr:col>9</xdr:col>
      <xdr:colOff>843643</xdr:colOff>
      <xdr:row>141</xdr:row>
      <xdr:rowOff>136070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C568B684-4C3A-4DAE-931B-31575DAF4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217715</xdr:colOff>
      <xdr:row>70</xdr:row>
      <xdr:rowOff>190500</xdr:rowOff>
    </xdr:from>
    <xdr:to>
      <xdr:col>9</xdr:col>
      <xdr:colOff>952501</xdr:colOff>
      <xdr:row>91</xdr:row>
      <xdr:rowOff>190500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9D84FD81-9700-44CF-8152-CF1B5E8E7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8</xdr:row>
      <xdr:rowOff>69021</xdr:rowOff>
    </xdr:from>
    <xdr:to>
      <xdr:col>21</xdr:col>
      <xdr:colOff>0</xdr:colOff>
      <xdr:row>21</xdr:row>
      <xdr:rowOff>37548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CF45182-C86E-4B1F-803C-197F6A7CA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496956</xdr:colOff>
      <xdr:row>18</xdr:row>
      <xdr:rowOff>23881</xdr:rowOff>
    </xdr:from>
    <xdr:to>
      <xdr:col>27</xdr:col>
      <xdr:colOff>690217</xdr:colOff>
      <xdr:row>32</xdr:row>
      <xdr:rowOff>102842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788B2C9-330C-45B1-A4C1-300E63511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66675</xdr:rowOff>
    </xdr:from>
    <xdr:to>
      <xdr:col>10</xdr:col>
      <xdr:colOff>514350</xdr:colOff>
      <xdr:row>15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4A563CF-D1A9-B4A8-A5E5-BE230E883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5951.457223726851" createdVersion="8" refreshedVersion="8" minRefreshableVersion="3" recordCount="660" xr:uid="{BAA11F88-8DA8-4643-836F-5D14958B0CC0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</sharedItems>
    </cacheField>
    <cacheField name="Temps d'achat" numFmtId="2">
      <sharedItems containsSemiMixedTypes="0" containsString="0" containsNumber="1" minValue="1.5" maxValue="13" count="410">
        <n v="9.68"/>
        <n v="12.6"/>
        <n v="8.93"/>
        <n v="11.5"/>
        <n v="8.8000000000000007"/>
        <n v="8.2899999999999991"/>
        <n v="11.9"/>
        <n v="12.5"/>
        <n v="8.0399999999999991"/>
        <n v="9.7799999999999994"/>
        <n v="12.4"/>
        <n v="9.84"/>
        <n v="11.8"/>
        <n v="7.97"/>
        <n v="12.3"/>
        <n v="8.56"/>
        <n v="10.4"/>
        <n v="7.3"/>
        <n v="11.1"/>
        <n v="8.3800000000000008"/>
        <n v="9.69"/>
        <n v="5.94"/>
        <n v="8.0500000000000007"/>
        <n v="10.7"/>
        <n v="11.3"/>
        <n v="10"/>
        <n v="9.35"/>
        <n v="5.0599999999999996"/>
        <n v="12"/>
        <n v="11.6"/>
        <n v="6.44"/>
        <n v="9.73"/>
        <n v="9.23"/>
        <n v="12.1"/>
        <n v="11.7"/>
        <n v="9.67"/>
        <n v="9.6199999999999992"/>
        <n v="5.21"/>
        <n v="7.07"/>
        <n v="8.18"/>
        <n v="7.55"/>
        <n v="9.99"/>
        <n v="12.8"/>
        <n v="9.24"/>
        <n v="8.7899999999999991"/>
        <n v="7.25"/>
        <n v="8.65"/>
        <n v="9.4600000000000009"/>
        <n v="12.2"/>
        <n v="9.3800000000000008"/>
        <n v="8.39"/>
        <n v="12.7"/>
        <n v="10.3"/>
        <n v="7.12"/>
        <n v="9.74"/>
        <n v="8.68"/>
        <n v="8.08"/>
        <n v="9.0399999999999991"/>
        <n v="8.1199999999999992"/>
        <n v="8.75"/>
        <n v="8.42"/>
        <n v="10.1"/>
        <n v="6.95"/>
        <n v="5.78"/>
        <n v="7.06"/>
        <n v="7.41"/>
        <n v="8.5399999999999991"/>
        <n v="7.21"/>
        <n v="8.89"/>
        <n v="10.6"/>
        <n v="6.94"/>
        <n v="7.95"/>
        <n v="8.6"/>
        <n v="9.33"/>
        <n v="9.8699999999999992"/>
        <n v="5.96"/>
        <n v="7.33"/>
        <n v="9.2200000000000006"/>
        <n v="9.98"/>
        <n v="7.59"/>
        <n v="8.74"/>
        <n v="9.2100000000000009"/>
        <n v="5.61"/>
        <n v="9.25"/>
        <n v="4.08"/>
        <n v="6.84"/>
        <n v="9.94"/>
        <n v="9.27"/>
        <n v="9.77"/>
        <n v="8.11"/>
        <n v="7.69"/>
        <n v="9.9499999999999993"/>
        <n v="9.49"/>
        <n v="7.36"/>
        <n v="8.2200000000000006"/>
        <n v="9.93"/>
        <n v="5.99"/>
        <n v="9.57"/>
        <n v="6.75"/>
        <n v="6.74"/>
        <n v="9.6"/>
        <n v="8.9600000000000009"/>
        <n v="6.63"/>
        <n v="8.02"/>
        <n v="9.3000000000000007"/>
        <n v="9.15"/>
        <n v="9.9600000000000009"/>
        <n v="9.02"/>
        <n v="6.27"/>
        <n v="5.86"/>
        <n v="9.0500000000000007"/>
        <n v="9.31"/>
        <n v="5.67"/>
        <n v="9.91"/>
        <n v="8.19"/>
        <n v="9.58"/>
        <n v="5.74"/>
        <n v="7.18"/>
        <n v="8.1"/>
        <n v="8.92"/>
        <n v="10.9"/>
        <n v="9.0299999999999994"/>
        <n v="8.24"/>
        <n v="6.56"/>
        <n v="9.2799999999999994"/>
        <n v="4.4400000000000004"/>
        <n v="9.1999999999999993"/>
        <n v="4.96"/>
        <n v="6.91"/>
        <n v="4.78"/>
        <n v="8.83"/>
        <n v="6.5"/>
        <n v="7.38"/>
        <n v="9.42"/>
        <n v="7.73"/>
        <n v="9.4700000000000006"/>
        <n v="7.54"/>
        <n v="6.86"/>
        <n v="8.14"/>
        <n v="5.58"/>
        <n v="6.68"/>
        <n v="5.05"/>
        <n v="8.7100000000000009"/>
        <n v="9.18"/>
        <n v="7.57"/>
        <n v="7.6"/>
        <n v="6.32"/>
        <n v="6.78"/>
        <n v="8.8800000000000008"/>
        <n v="9.5299999999999994"/>
        <n v="8.69"/>
        <n v="9.19"/>
        <n v="8.98"/>
        <n v="9.86"/>
        <n v="5.73"/>
        <n v="6.93"/>
        <n v="7.81"/>
        <n v="6.16"/>
        <n v="9.59"/>
        <n v="8.6199999999999992"/>
        <n v="6.71"/>
        <n v="8.7200000000000006"/>
        <n v="8.34"/>
        <n v="5.5"/>
        <n v="5.34"/>
        <n v="7.68"/>
        <n v="6.81"/>
        <n v="4.0199999999999996"/>
        <n v="7.66"/>
        <n v="7.37"/>
        <n v="6.46"/>
        <n v="8.4700000000000006"/>
        <n v="8.6300000000000008"/>
        <n v="8.44"/>
        <n v="5.59"/>
        <n v="9.07"/>
        <n v="7.88"/>
        <n v="6.73"/>
        <n v="9.06"/>
        <n v="6.36"/>
        <n v="7.71"/>
        <n v="13"/>
        <n v="1.8"/>
        <n v="6.05"/>
        <n v="5.79"/>
        <n v="9.56"/>
        <n v="6.51"/>
        <n v="6.64"/>
        <n v="5.36"/>
        <n v="6.03"/>
        <n v="8.52"/>
        <n v="8.6999999999999993"/>
        <n v="6.69"/>
        <n v="7.98"/>
        <n v="7.91"/>
        <n v="8.85"/>
        <n v="7.9"/>
        <n v="8.64"/>
        <n v="6.96"/>
        <n v="4.62"/>
        <n v="6.21"/>
        <n v="8.17"/>
        <n v="6.09"/>
        <n v="4.93"/>
        <n v="5.65"/>
        <n v="7.27"/>
        <n v="4.5"/>
        <n v="6.57"/>
        <n v="6.72"/>
        <n v="8.31"/>
        <n v="7.84"/>
        <n v="7.52"/>
        <n v="6.49"/>
        <n v="6.38"/>
        <n v="5.12"/>
        <n v="9.66"/>
        <n v="11"/>
        <n v="5.88"/>
        <n v="2.8"/>
        <n v="6.65"/>
        <n v="7.28"/>
        <n v="7.45"/>
        <n v="4.88"/>
        <n v="6.85"/>
        <n v="8.49"/>
        <n v="8"/>
        <n v="7.31"/>
        <n v="7.22"/>
        <n v="6.8"/>
        <n v="8.7799999999999994"/>
        <n v="4.6900000000000004"/>
        <n v="7.93"/>
        <n v="6.28"/>
        <n v="5.53"/>
        <n v="9.44"/>
        <n v="9.01"/>
        <n v="7.7"/>
        <n v="4.1500000000000004"/>
        <n v="6.54"/>
        <n v="9"/>
        <n v="4.8499999999999996"/>
        <n v="6.45"/>
        <n v="9.17"/>
        <n v="6.76"/>
        <n v="6.25"/>
        <n v="5.18"/>
        <n v="4"/>
        <n v="3"/>
        <n v="6.97"/>
        <n v="5.0999999999999996"/>
        <n v="7.67"/>
        <n v="4.76"/>
        <n v="4.24"/>
        <n v="4.67"/>
        <n v="5.87"/>
        <n v="6.99"/>
        <n v="5.98"/>
        <n v="7.34"/>
        <n v="5.83"/>
        <n v="5.66"/>
        <n v="11.4"/>
        <n v="5.91"/>
        <n v="6.34"/>
        <n v="7.46"/>
        <n v="6.82"/>
        <n v="8.86"/>
        <n v="6.17"/>
        <n v="6.66"/>
        <n v="6.06"/>
        <n v="7.87"/>
        <n v="7.11"/>
        <n v="6.43"/>
        <n v="6.24"/>
        <n v="7.58"/>
        <n v="8.41"/>
        <n v="7.75"/>
        <n v="6.23"/>
        <n v="4.87"/>
        <n v="8.9700000000000006"/>
        <n v="5.93"/>
        <n v="9.65"/>
        <n v="7.42"/>
        <n v="5.45"/>
        <n v="4.22"/>
        <n v="8.61"/>
        <n v="6.59"/>
        <n v="5.15"/>
        <n v="4.3"/>
        <n v="5.31"/>
        <n v="9.1"/>
        <n v="2.2999999999999998"/>
        <n v="3.5"/>
        <n v="9.8800000000000008"/>
        <n v="4.6399999999999997"/>
        <n v="4.04"/>
        <n v="6.22"/>
        <n v="5.63"/>
        <n v="9.75"/>
        <n v="4.75"/>
        <n v="3.9"/>
        <n v="6.55"/>
        <n v="6.92"/>
        <n v="6.33"/>
        <n v="5.38"/>
        <n v="3.8"/>
        <n v="4.34"/>
        <n v="6.67"/>
        <n v="4.68"/>
        <n v="8.94"/>
        <n v="7.48"/>
        <n v="5.47"/>
        <n v="6.12"/>
        <n v="5.97"/>
        <n v="5.7"/>
        <n v="6.15"/>
        <n v="7.05"/>
        <n v="3.6"/>
        <n v="7.19"/>
        <n v="5.22"/>
        <n v="2.4"/>
        <n v="9.5"/>
        <n v="4.05"/>
        <n v="6.7"/>
        <n v="5.46"/>
        <n v="5.68"/>
        <n v="8.91"/>
        <n v="5.44"/>
        <n v="4.5599999999999996"/>
        <n v="5.14"/>
        <n v="5.29"/>
        <n v="5.77"/>
        <n v="8.27"/>
        <n v="5.64"/>
        <n v="4.5199999999999996"/>
        <n v="4.57"/>
        <n v="10.199999999999999"/>
        <n v="6.41"/>
        <n v="4.84"/>
        <n v="6.02"/>
        <n v="5.25"/>
        <n v="5.39"/>
        <n v="5.41"/>
        <n v="4.7"/>
        <n v="4.2"/>
        <n v="4.59"/>
        <n v="4.55"/>
        <n v="4.03"/>
        <n v="4.38"/>
        <n v="4.7699999999999996"/>
        <n v="4.26"/>
        <n v="5.35"/>
        <n v="3.3"/>
        <n v="2.6"/>
        <n v="5.56"/>
        <n v="4.28"/>
        <n v="2.1"/>
        <n v="9.85"/>
        <n v="4.99"/>
        <n v="5.24"/>
        <n v="4.54"/>
        <n v="4.32"/>
        <n v="5.03"/>
        <n v="4.6100000000000003"/>
        <n v="8.35"/>
        <n v="5.23"/>
        <n v="5.84"/>
        <n v="5.2"/>
        <n v="4.83"/>
        <n v="5.43"/>
        <n v="4.17"/>
        <n v="8.5500000000000007"/>
        <n v="2.5"/>
        <n v="4.92"/>
        <n v="4.66"/>
        <n v="1.6"/>
        <n v="4.4800000000000004"/>
        <n v="7"/>
        <n v="4.12"/>
        <n v="7.76"/>
        <n v="7.29"/>
        <n v="4.1399999999999997"/>
        <n v="5.76"/>
        <n v="4.1100000000000003"/>
        <n v="6.47"/>
        <n v="5.42"/>
        <n v="4.3899999999999997"/>
        <n v="1.5"/>
        <n v="7.79"/>
        <n v="3.7"/>
        <n v="5.48"/>
        <n v="4.46"/>
        <n v="4.3099999999999996"/>
        <n v="2"/>
        <n v="7.72"/>
        <n v="2.9"/>
        <n v="6.18"/>
        <n v="4.6500000000000004"/>
        <n v="5.3"/>
        <n v="4.8"/>
        <n v="1.9"/>
        <n v="5.85"/>
        <n v="4.13"/>
        <n v="2.67"/>
        <n v="4.37"/>
        <n v="4.0599999999999996"/>
        <n v="6.31"/>
        <n v="1.7"/>
        <n v="2.7"/>
        <n v="4.18"/>
        <n v="3.2"/>
      </sharedItems>
    </cacheField>
    <cacheField name="Montant" numFmtId="44">
      <sharedItems containsSemiMixedTypes="0" containsString="0" containsNumber="1" minValue="6.97" maxValue="132.72999999999999" count="639">
        <n v="132.72999999999999"/>
        <n v="120.86"/>
        <n v="118.54"/>
        <n v="118.49"/>
        <n v="115.37"/>
        <n v="115.29"/>
        <n v="114.96"/>
        <n v="110.81"/>
        <n v="110.48"/>
        <n v="109.79"/>
        <n v="109.42"/>
        <n v="108.17"/>
        <n v="105.61"/>
        <n v="105.6"/>
        <n v="104.75"/>
        <n v="103.88"/>
        <n v="103.65"/>
        <n v="103.09"/>
        <n v="101.92"/>
        <n v="100.82"/>
        <n v="100.78"/>
        <n v="100.72"/>
        <n v="100.55"/>
        <n v="100.07"/>
        <n v="99.96"/>
        <n v="99.73"/>
        <n v="99.72"/>
        <n v="99.6"/>
        <n v="98.34"/>
        <n v="96.74"/>
        <n v="96.31"/>
        <n v="96.03"/>
        <n v="95.73"/>
        <n v="95.39"/>
        <n v="95.27"/>
        <n v="95.17"/>
        <n v="94.71"/>
        <n v="94.26"/>
        <n v="94.07"/>
        <n v="93.63"/>
        <n v="93.01"/>
        <n v="92.89"/>
        <n v="92.88"/>
        <n v="92.83"/>
        <n v="92.48"/>
        <n v="92.43"/>
        <n v="92.22"/>
        <n v="92.08"/>
        <n v="91.79"/>
        <n v="91.7"/>
        <n v="91.53"/>
        <n v="91.39"/>
        <n v="91.16"/>
        <n v="90.99"/>
        <n v="90.89"/>
        <n v="90.66"/>
        <n v="90.42"/>
        <n v="89.98"/>
        <n v="89.68"/>
        <n v="89.49"/>
        <n v="89.46"/>
        <n v="89.32"/>
        <n v="89.26"/>
        <n v="89.18"/>
        <n v="89.08"/>
        <n v="89.07"/>
        <n v="88.57"/>
        <n v="88.53"/>
        <n v="88.43"/>
        <n v="88.33"/>
        <n v="88.16"/>
        <n v="87.75"/>
        <n v="87.63"/>
        <n v="87.42"/>
        <n v="87.4"/>
        <n v="87.01"/>
        <n v="86.68"/>
        <n v="86.46"/>
        <n v="86.36"/>
        <n v="86.23"/>
        <n v="85.79"/>
        <n v="85.37"/>
        <n v="85.29"/>
        <n v="85.03"/>
        <n v="84.49"/>
        <n v="84.48"/>
        <n v="84.28"/>
        <n v="84.26"/>
        <n v="84.13"/>
        <n v="83.86"/>
        <n v="83.76"/>
        <n v="83.73"/>
        <n v="83.57"/>
        <n v="83.38"/>
        <n v="83.21"/>
        <n v="83.15"/>
        <n v="83.08"/>
        <n v="82.68"/>
        <n v="82.31"/>
        <n v="82.07"/>
        <n v="82.05"/>
        <n v="82.02"/>
        <n v="81.88"/>
        <n v="81.680000000000007"/>
        <n v="81.64"/>
        <n v="81.569999999999993"/>
        <n v="81.53"/>
        <n v="81.08"/>
        <n v="80.989999999999995"/>
        <n v="80.47"/>
        <n v="80.430000000000007"/>
        <n v="80.31"/>
        <n v="80.16"/>
        <n v="80.13"/>
        <n v="80.03"/>
        <n v="80"/>
        <n v="79.989999999999995"/>
        <n v="79.900000000000006"/>
        <n v="79.790000000000006"/>
        <n v="79.67"/>
        <n v="79.55"/>
        <n v="79.36"/>
        <n v="79.349999999999994"/>
        <n v="79.290000000000006"/>
        <n v="79.25"/>
        <n v="79.23"/>
        <n v="78.83"/>
        <n v="78.58"/>
        <n v="78.39"/>
        <n v="78.3"/>
        <n v="78.27"/>
        <n v="78.2"/>
        <n v="77.989999999999995"/>
        <n v="77.92"/>
        <n v="77.84"/>
        <n v="77.760000000000005"/>
        <n v="77.45"/>
        <n v="77.400000000000006"/>
        <n v="77.39"/>
        <n v="77.38"/>
        <n v="77.36"/>
        <n v="77.319999999999993"/>
        <n v="77.290000000000006"/>
        <n v="77.16"/>
        <n v="77.150000000000006"/>
        <n v="77.13"/>
        <n v="77.069999999999993"/>
        <n v="76.959999999999994"/>
        <n v="76.7"/>
        <n v="76.55"/>
        <n v="76.47"/>
        <n v="76.39"/>
        <n v="76.37"/>
        <n v="76.27"/>
        <n v="76.010000000000005"/>
        <n v="75.75"/>
        <n v="75.739999999999995"/>
        <n v="75.459999999999994"/>
        <n v="75.430000000000007"/>
        <n v="75.08"/>
        <n v="75.03"/>
        <n v="74.97"/>
        <n v="74.760000000000005"/>
        <n v="74.739999999999995"/>
        <n v="74.44"/>
        <n v="74.41"/>
        <n v="74.239999999999995"/>
        <n v="74.14"/>
        <n v="74.09"/>
        <n v="73.91"/>
        <n v="73.87"/>
        <n v="73.78"/>
        <n v="73.75"/>
        <n v="73.69"/>
        <n v="73.45"/>
        <n v="73.260000000000005"/>
        <n v="73.25"/>
        <n v="73.02"/>
        <n v="72.92"/>
        <n v="72.78"/>
        <n v="72.72"/>
        <n v="72.56"/>
        <n v="72.540000000000006"/>
        <n v="72.510000000000005"/>
        <n v="72.44"/>
        <n v="72.349999999999994"/>
        <n v="72.25"/>
        <n v="71.98"/>
        <n v="71.62"/>
        <n v="71.599999999999994"/>
        <n v="71.47"/>
        <n v="71.33"/>
        <n v="71.150000000000006"/>
        <n v="71.069999999999993"/>
        <n v="71.040000000000006"/>
        <n v="70.88"/>
        <n v="70.739999999999995"/>
        <n v="70.61"/>
        <n v="70.489999999999995"/>
        <n v="70.430000000000007"/>
        <n v="70.38"/>
        <n v="70.36"/>
        <n v="70.22"/>
        <n v="70.06"/>
        <n v="70.040000000000006"/>
        <n v="70"/>
        <n v="69.86"/>
        <n v="69.61"/>
        <n v="69.099999999999994"/>
        <n v="69.069999999999993"/>
        <n v="69.06"/>
        <n v="69.040000000000006"/>
        <n v="68.959999999999994"/>
        <n v="68.91"/>
        <n v="68.760000000000005"/>
        <n v="68.48"/>
        <n v="68.38"/>
        <n v="68.260000000000005"/>
        <n v="68.12"/>
        <n v="68.069999999999993"/>
        <n v="68.02"/>
        <n v="67.95"/>
        <n v="67.87"/>
        <n v="67.739999999999995"/>
        <n v="67.66"/>
        <n v="67.63"/>
        <n v="67.44"/>
        <n v="67.36"/>
        <n v="67.31"/>
        <n v="67.260000000000005"/>
        <n v="67.25"/>
        <n v="67.23"/>
        <n v="67.2"/>
        <n v="67.150000000000006"/>
        <n v="67.12"/>
        <n v="67.069999999999993"/>
        <n v="67.02"/>
        <n v="66.959999999999994"/>
        <n v="66.86"/>
        <n v="66.72"/>
        <n v="66.709999999999994"/>
        <n v="66.650000000000006"/>
        <n v="66.56"/>
        <n v="66.430000000000007"/>
        <n v="66.28"/>
        <n v="66.22"/>
        <n v="66.209999999999994"/>
        <n v="66.16"/>
        <n v="66.13"/>
        <n v="65.95"/>
        <n v="65.87"/>
        <n v="65.84"/>
        <n v="65.400000000000006"/>
        <n v="65.36"/>
        <n v="65.28"/>
        <n v="65.260000000000005"/>
        <n v="65.209999999999994"/>
        <n v="65.19"/>
        <n v="65.16"/>
        <n v="65.02"/>
        <n v="64.83"/>
        <n v="64.69"/>
        <n v="64.67"/>
        <n v="64.61"/>
        <n v="64.599999999999994"/>
        <n v="64.55"/>
        <n v="64.5"/>
        <n v="64.36"/>
        <n v="64.02"/>
        <n v="63.91"/>
        <n v="63.74"/>
        <n v="63.57"/>
        <n v="63.52"/>
        <n v="63.51"/>
        <n v="63.5"/>
        <n v="63.38"/>
        <n v="63.35"/>
        <n v="63.34"/>
        <n v="63.32"/>
        <n v="63.19"/>
        <n v="63.1"/>
        <n v="63.07"/>
        <n v="63"/>
        <n v="62.98"/>
        <n v="62.96"/>
        <n v="62.93"/>
        <n v="62.92"/>
        <n v="62.85"/>
        <n v="62.71"/>
        <n v="62.64"/>
        <n v="62.56"/>
        <n v="62.53"/>
        <n v="62.51"/>
        <n v="62.46"/>
        <n v="62.31"/>
        <n v="62.13"/>
        <n v="61.92"/>
        <n v="61.9"/>
        <n v="61.87"/>
        <n v="61.81"/>
        <n v="61.63"/>
        <n v="61.5"/>
        <n v="61.28"/>
        <n v="61.26"/>
        <n v="61.2"/>
        <n v="61.19"/>
        <n v="61.06"/>
        <n v="61.02"/>
        <n v="60.58"/>
        <n v="60.5"/>
        <n v="60.49"/>
        <n v="60.12"/>
        <n v="59.93"/>
        <n v="59.74"/>
        <n v="59.62"/>
        <n v="59.47"/>
        <n v="59.39"/>
        <n v="59.31"/>
        <n v="59.23"/>
        <n v="59.17"/>
        <n v="58.99"/>
        <n v="58.89"/>
        <n v="58.86"/>
        <n v="58.85"/>
        <n v="58.41"/>
        <n v="58.26"/>
        <n v="58.17"/>
        <n v="58.01"/>
        <n v="58"/>
        <n v="57.95"/>
        <n v="57.9"/>
        <n v="57.83"/>
        <n v="57.6"/>
        <n v="57.53"/>
        <n v="57.47"/>
        <n v="57.43"/>
        <n v="57.42"/>
        <n v="57.18"/>
        <n v="57.16"/>
        <n v="57.02"/>
        <n v="57.01"/>
        <n v="57"/>
        <n v="56.8"/>
        <n v="56.7"/>
        <n v="56.66"/>
        <n v="56.59"/>
        <n v="56.55"/>
        <n v="56.39"/>
        <n v="56.37"/>
        <n v="56.36"/>
        <n v="56.08"/>
        <n v="55.94"/>
        <n v="55.88"/>
        <n v="55.73"/>
        <n v="55.63"/>
        <n v="55.6"/>
        <n v="55.5"/>
        <n v="55.46"/>
        <n v="55.42"/>
        <n v="55.41"/>
        <n v="55.39"/>
        <n v="55.31"/>
        <n v="55.3"/>
        <n v="55.21"/>
        <n v="55.1"/>
        <n v="55.07"/>
        <n v="54.95"/>
        <n v="54.93"/>
        <n v="54.85"/>
        <n v="54.74"/>
        <n v="54.71"/>
        <n v="54.57"/>
        <n v="54.56"/>
        <n v="54.51"/>
        <n v="54.49"/>
        <n v="54.32"/>
        <n v="54.28"/>
        <n v="53.96"/>
        <n v="53.91"/>
        <n v="53.62"/>
        <n v="53.57"/>
        <n v="53.52"/>
        <n v="53.51"/>
        <n v="53.41"/>
        <n v="53.4"/>
        <n v="53.2"/>
        <n v="53.17"/>
        <n v="53"/>
        <n v="52.97"/>
        <n v="52.93"/>
        <n v="52.91"/>
        <n v="52.87"/>
        <n v="52.84"/>
        <n v="52.61"/>
        <n v="52.51"/>
        <n v="52.45"/>
        <n v="52.4"/>
        <n v="52.36"/>
        <n v="52.3"/>
        <n v="52.1"/>
        <n v="52.08"/>
        <n v="52.07"/>
        <n v="51.99"/>
        <n v="51.98"/>
        <n v="51.97"/>
        <n v="51.89"/>
        <n v="51.82"/>
        <n v="51.69"/>
        <n v="51.67"/>
        <n v="51.43"/>
        <n v="51.36"/>
        <n v="51.35"/>
        <n v="51.33"/>
        <n v="51.14"/>
        <n v="51.12"/>
        <n v="51"/>
        <n v="50.94"/>
        <n v="50.93"/>
        <n v="50.83"/>
        <n v="50.8"/>
        <n v="50.74"/>
        <n v="50.66"/>
        <n v="50.65"/>
        <n v="50.62"/>
        <n v="50.61"/>
        <n v="50.46"/>
        <n v="50.34"/>
        <n v="50.33"/>
        <n v="50.29"/>
        <n v="50.27"/>
        <n v="50.18"/>
        <n v="50.07"/>
        <n v="49.92"/>
        <n v="49.81"/>
        <n v="49.8"/>
        <n v="49.61"/>
        <n v="49.54"/>
        <n v="49.48"/>
        <n v="49.27"/>
        <n v="49.24"/>
        <n v="48.99"/>
        <n v="48.83"/>
        <n v="48.8"/>
        <n v="48.57"/>
        <n v="48.4"/>
        <n v="48.26"/>
        <n v="48.18"/>
        <n v="48.14"/>
        <n v="47.98"/>
        <n v="47.91"/>
        <n v="47.75"/>
        <n v="47.74"/>
        <n v="47.69"/>
        <n v="47.61"/>
        <n v="47.5"/>
        <n v="47.37"/>
        <n v="47.3"/>
        <n v="47.22"/>
        <n v="47.04"/>
        <n v="46.9"/>
        <n v="46.8"/>
        <n v="46.77"/>
        <n v="46.76"/>
        <n v="46.56"/>
        <n v="46.33"/>
        <n v="46.24"/>
        <n v="46.17"/>
        <n v="45.92"/>
        <n v="45.88"/>
        <n v="45.83"/>
        <n v="45.79"/>
        <n v="45.76"/>
        <n v="45.75"/>
        <n v="45.66"/>
        <n v="45.65"/>
        <n v="45.31"/>
        <n v="45.03"/>
        <n v="44.95"/>
        <n v="44.87"/>
        <n v="44.82"/>
        <n v="44.64"/>
        <n v="44.63"/>
        <n v="44.6"/>
        <n v="44.4"/>
        <n v="44.39"/>
        <n v="44.37"/>
        <n v="44.29"/>
        <n v="44.27"/>
        <n v="44.25"/>
        <n v="44.23"/>
        <n v="44.21"/>
        <n v="44.09"/>
        <n v="43.97"/>
        <n v="43.95"/>
        <n v="43.81"/>
        <n v="43.75"/>
        <n v="43.55"/>
        <n v="43.41"/>
        <n v="43.32"/>
        <n v="43.28"/>
        <n v="43.26"/>
        <n v="43.2"/>
        <n v="43.18"/>
        <n v="43.17"/>
        <n v="42.98"/>
        <n v="42.91"/>
        <n v="42.69"/>
        <n v="42.51"/>
        <n v="42.46"/>
        <n v="42.33"/>
        <n v="42.26"/>
        <n v="42.13"/>
        <n v="42.01"/>
        <n v="41.82"/>
        <n v="41.59"/>
        <n v="41.49"/>
        <n v="41.34"/>
        <n v="41.24"/>
        <n v="41.23"/>
        <n v="40.880000000000003"/>
        <n v="40.86"/>
        <n v="40.79"/>
        <n v="40.19"/>
        <n v="40.15"/>
        <n v="40.14"/>
        <n v="39.99"/>
        <n v="39.82"/>
        <n v="39.72"/>
        <n v="39.58"/>
        <n v="39.54"/>
        <n v="39.17"/>
        <n v="38.9"/>
        <n v="38.86"/>
        <n v="38.69"/>
        <n v="38.61"/>
        <n v="38.450000000000003"/>
        <n v="38.24"/>
        <n v="38.17"/>
        <n v="38.1"/>
        <n v="38.090000000000003"/>
        <n v="37.869999999999997"/>
        <n v="37.83"/>
        <n v="37.46"/>
        <n v="37.39"/>
        <n v="37.07"/>
        <n v="36.99"/>
        <n v="36.72"/>
        <n v="36.71"/>
        <n v="36.58"/>
        <n v="36.57"/>
        <n v="36.51"/>
        <n v="36.31"/>
        <n v="36.21"/>
        <n v="36.200000000000003"/>
        <n v="35.799999999999997"/>
        <n v="35.78"/>
        <n v="35.75"/>
        <n v="35.58"/>
        <n v="35.53"/>
        <n v="35.380000000000003"/>
        <n v="35.26"/>
        <n v="35.11"/>
        <n v="35.03"/>
        <n v="34.97"/>
        <n v="34.770000000000003"/>
        <n v="34.53"/>
        <n v="34.47"/>
        <n v="34.409999999999997"/>
        <n v="34.28"/>
        <n v="34.049999999999997"/>
        <n v="33.97"/>
        <n v="33.450000000000003"/>
        <n v="33.18"/>
        <n v="33.049999999999997"/>
        <n v="33.03"/>
        <n v="32.700000000000003"/>
        <n v="31.75"/>
        <n v="31.65"/>
        <n v="31.57"/>
        <n v="31.48"/>
        <n v="31.37"/>
        <n v="31.21"/>
        <n v="31.1"/>
        <n v="30.81"/>
        <n v="30.74"/>
        <n v="30.68"/>
        <n v="30.67"/>
        <n v="30.62"/>
        <n v="30.33"/>
        <n v="29.99"/>
        <n v="29.32"/>
        <n v="29.17"/>
        <n v="28.76"/>
        <n v="28.75"/>
        <n v="28.32"/>
        <n v="28.16"/>
        <n v="27.84"/>
        <n v="27.64"/>
        <n v="26.77"/>
        <n v="26.63"/>
        <n v="26.08"/>
        <n v="26.05"/>
        <n v="25.68"/>
        <n v="25.28"/>
        <n v="24.63"/>
        <n v="24.61"/>
        <n v="24.34"/>
        <n v="23.5"/>
        <n v="23.33"/>
        <n v="23.31"/>
        <n v="22.81"/>
        <n v="22.59"/>
        <n v="22.58"/>
        <n v="22.54"/>
        <n v="22.47"/>
        <n v="21.99"/>
        <n v="21.98"/>
        <n v="21.73"/>
        <n v="21.46"/>
        <n v="21.1"/>
        <n v="20.84"/>
        <n v="20.309999999999999"/>
        <n v="20.170000000000002"/>
        <n v="19.02"/>
        <n v="19.010000000000002"/>
        <n v="18.52"/>
        <n v="18.28"/>
        <n v="17.32"/>
        <n v="16.579999999999998"/>
        <n v="14"/>
        <n v="12.65"/>
        <n v="11.95"/>
        <n v="11.14"/>
        <n v="10.96"/>
        <n v="9.8000000000000007"/>
        <n v="9.23"/>
        <n v="8.69"/>
        <n v="8"/>
        <n v="6.97"/>
      </sharedItems>
    </cacheField>
    <cacheField name="Categorie" numFmtId="0">
      <sharedItems count="2">
        <s v="nourriture"/>
        <s v="bien de conso."/>
      </sharedItems>
    </cacheField>
    <cacheField name="Champ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5951.725574652781" createdVersion="8" refreshedVersion="8" minRefreshableVersion="3" recordCount="10" xr:uid="{4F0E374D-D1C3-4110-B448-6914D45F1EC6}">
  <cacheSource type="worksheet">
    <worksheetSource ref="O1:R11" sheet="DATA Février (clients affiliés)"/>
  </cacheSource>
  <cacheFields count="5">
    <cacheField name="ID Client" numFmtId="0">
      <sharedItems containsSemiMixedTypes="0" containsString="0" containsNumber="1" containsInteger="1" minValue="15" maxValue="38" count="10">
        <n v="24"/>
        <n v="25"/>
        <n v="26"/>
        <n v="36"/>
        <n v="20"/>
        <n v="35"/>
        <n v="31"/>
        <n v="38"/>
        <n v="15"/>
        <n v="22"/>
      </sharedItems>
    </cacheField>
    <cacheField name="bien de conso." numFmtId="44">
      <sharedItems containsSemiMixedTypes="0" containsString="0" containsNumber="1" minValue="190.66" maxValue="631.71" count="10">
        <n v="631.71"/>
        <n v="368.73999999999995"/>
        <n v="619.50999999999988"/>
        <n v="505.64"/>
        <n v="368.79999999999995"/>
        <n v="482.34000000000003"/>
        <n v="589.95999999999992"/>
        <n v="568.76"/>
        <n v="190.66"/>
        <n v="291.37"/>
      </sharedItems>
    </cacheField>
    <cacheField name="nourriture" numFmtId="44">
      <sharedItems containsSemiMixedTypes="0" containsString="0" containsNumber="1" minValue="525.25" maxValue="1028.4100000000001" count="10">
        <n v="878.62000000000012"/>
        <n v="1028.4100000000001"/>
        <n v="719.2399999999999"/>
        <n v="729.21"/>
        <n v="779.14999999999986"/>
        <n v="639.66000000000008"/>
        <n v="525.25"/>
        <n v="526.25"/>
        <n v="872.34"/>
        <n v="743.33"/>
      </sharedItems>
    </cacheField>
    <cacheField name="Total général" numFmtId="44">
      <sharedItems containsSemiMixedTypes="0" containsString="0" containsNumber="1" minValue="1034.7" maxValue="1510.3300000000002" count="10">
        <n v="1510.3300000000002"/>
        <n v="1397.15"/>
        <n v="1338.7499999999998"/>
        <n v="1234.8499999999999"/>
        <n v="1147.9499999999998"/>
        <n v="1122"/>
        <n v="1115.21"/>
        <n v="1095.01"/>
        <n v="1063"/>
        <n v="1034.7"/>
      </sharedItems>
    </cacheField>
    <cacheField name="Champ1" numFmtId="0" formula="'Total général'" databaseField="0"/>
  </cacheFields>
  <extLst>
    <ext xmlns:x14="http://schemas.microsoft.com/office/spreadsheetml/2009/9/main" uri="{725AE2AE-9491-48be-B2B4-4EB974FC3084}">
      <x14:pivotCacheDefinition pivotCacheId="676446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1"/>
  </r>
  <r>
    <x v="3"/>
    <x v="3"/>
    <x v="3"/>
    <x v="0"/>
  </r>
  <r>
    <x v="4"/>
    <x v="4"/>
    <x v="4"/>
    <x v="0"/>
  </r>
  <r>
    <x v="5"/>
    <x v="5"/>
    <x v="5"/>
    <x v="1"/>
  </r>
  <r>
    <x v="6"/>
    <x v="6"/>
    <x v="6"/>
    <x v="0"/>
  </r>
  <r>
    <x v="7"/>
    <x v="7"/>
    <x v="7"/>
    <x v="0"/>
  </r>
  <r>
    <x v="7"/>
    <x v="8"/>
    <x v="8"/>
    <x v="0"/>
  </r>
  <r>
    <x v="8"/>
    <x v="9"/>
    <x v="9"/>
    <x v="0"/>
  </r>
  <r>
    <x v="9"/>
    <x v="10"/>
    <x v="10"/>
    <x v="0"/>
  </r>
  <r>
    <x v="10"/>
    <x v="11"/>
    <x v="11"/>
    <x v="0"/>
  </r>
  <r>
    <x v="11"/>
    <x v="7"/>
    <x v="12"/>
    <x v="0"/>
  </r>
  <r>
    <x v="0"/>
    <x v="12"/>
    <x v="13"/>
    <x v="0"/>
  </r>
  <r>
    <x v="12"/>
    <x v="13"/>
    <x v="14"/>
    <x v="0"/>
  </r>
  <r>
    <x v="13"/>
    <x v="14"/>
    <x v="15"/>
    <x v="0"/>
  </r>
  <r>
    <x v="14"/>
    <x v="15"/>
    <x v="16"/>
    <x v="0"/>
  </r>
  <r>
    <x v="15"/>
    <x v="16"/>
    <x v="17"/>
    <x v="0"/>
  </r>
  <r>
    <x v="4"/>
    <x v="17"/>
    <x v="18"/>
    <x v="0"/>
  </r>
  <r>
    <x v="16"/>
    <x v="18"/>
    <x v="19"/>
    <x v="0"/>
  </r>
  <r>
    <x v="9"/>
    <x v="19"/>
    <x v="20"/>
    <x v="1"/>
  </r>
  <r>
    <x v="1"/>
    <x v="20"/>
    <x v="21"/>
    <x v="0"/>
  </r>
  <r>
    <x v="17"/>
    <x v="7"/>
    <x v="22"/>
    <x v="0"/>
  </r>
  <r>
    <x v="7"/>
    <x v="21"/>
    <x v="23"/>
    <x v="0"/>
  </r>
  <r>
    <x v="18"/>
    <x v="22"/>
    <x v="24"/>
    <x v="0"/>
  </r>
  <r>
    <x v="19"/>
    <x v="23"/>
    <x v="25"/>
    <x v="0"/>
  </r>
  <r>
    <x v="17"/>
    <x v="7"/>
    <x v="26"/>
    <x v="0"/>
  </r>
  <r>
    <x v="20"/>
    <x v="24"/>
    <x v="27"/>
    <x v="0"/>
  </r>
  <r>
    <x v="0"/>
    <x v="25"/>
    <x v="28"/>
    <x v="0"/>
  </r>
  <r>
    <x v="20"/>
    <x v="10"/>
    <x v="29"/>
    <x v="0"/>
  </r>
  <r>
    <x v="21"/>
    <x v="26"/>
    <x v="30"/>
    <x v="1"/>
  </r>
  <r>
    <x v="22"/>
    <x v="27"/>
    <x v="31"/>
    <x v="1"/>
  </r>
  <r>
    <x v="2"/>
    <x v="28"/>
    <x v="32"/>
    <x v="0"/>
  </r>
  <r>
    <x v="10"/>
    <x v="29"/>
    <x v="33"/>
    <x v="0"/>
  </r>
  <r>
    <x v="23"/>
    <x v="30"/>
    <x v="34"/>
    <x v="1"/>
  </r>
  <r>
    <x v="12"/>
    <x v="6"/>
    <x v="35"/>
    <x v="0"/>
  </r>
  <r>
    <x v="19"/>
    <x v="31"/>
    <x v="36"/>
    <x v="0"/>
  </r>
  <r>
    <x v="2"/>
    <x v="32"/>
    <x v="37"/>
    <x v="0"/>
  </r>
  <r>
    <x v="24"/>
    <x v="33"/>
    <x v="38"/>
    <x v="0"/>
  </r>
  <r>
    <x v="17"/>
    <x v="34"/>
    <x v="39"/>
    <x v="0"/>
  </r>
  <r>
    <x v="7"/>
    <x v="35"/>
    <x v="40"/>
    <x v="1"/>
  </r>
  <r>
    <x v="25"/>
    <x v="36"/>
    <x v="41"/>
    <x v="0"/>
  </r>
  <r>
    <x v="26"/>
    <x v="37"/>
    <x v="42"/>
    <x v="0"/>
  </r>
  <r>
    <x v="22"/>
    <x v="38"/>
    <x v="43"/>
    <x v="0"/>
  </r>
  <r>
    <x v="27"/>
    <x v="39"/>
    <x v="44"/>
    <x v="1"/>
  </r>
  <r>
    <x v="8"/>
    <x v="24"/>
    <x v="45"/>
    <x v="0"/>
  </r>
  <r>
    <x v="27"/>
    <x v="40"/>
    <x v="46"/>
    <x v="0"/>
  </r>
  <r>
    <x v="28"/>
    <x v="41"/>
    <x v="46"/>
    <x v="0"/>
  </r>
  <r>
    <x v="29"/>
    <x v="33"/>
    <x v="47"/>
    <x v="0"/>
  </r>
  <r>
    <x v="21"/>
    <x v="42"/>
    <x v="48"/>
    <x v="0"/>
  </r>
  <r>
    <x v="14"/>
    <x v="43"/>
    <x v="49"/>
    <x v="0"/>
  </r>
  <r>
    <x v="23"/>
    <x v="44"/>
    <x v="50"/>
    <x v="0"/>
  </r>
  <r>
    <x v="21"/>
    <x v="45"/>
    <x v="51"/>
    <x v="0"/>
  </r>
  <r>
    <x v="30"/>
    <x v="46"/>
    <x v="52"/>
    <x v="0"/>
  </r>
  <r>
    <x v="19"/>
    <x v="47"/>
    <x v="53"/>
    <x v="1"/>
  </r>
  <r>
    <x v="25"/>
    <x v="48"/>
    <x v="54"/>
    <x v="0"/>
  </r>
  <r>
    <x v="19"/>
    <x v="10"/>
    <x v="55"/>
    <x v="0"/>
  </r>
  <r>
    <x v="5"/>
    <x v="49"/>
    <x v="56"/>
    <x v="0"/>
  </r>
  <r>
    <x v="31"/>
    <x v="50"/>
    <x v="57"/>
    <x v="1"/>
  </r>
  <r>
    <x v="32"/>
    <x v="51"/>
    <x v="58"/>
    <x v="0"/>
  </r>
  <r>
    <x v="23"/>
    <x v="52"/>
    <x v="59"/>
    <x v="0"/>
  </r>
  <r>
    <x v="19"/>
    <x v="53"/>
    <x v="60"/>
    <x v="0"/>
  </r>
  <r>
    <x v="4"/>
    <x v="54"/>
    <x v="61"/>
    <x v="0"/>
  </r>
  <r>
    <x v="4"/>
    <x v="55"/>
    <x v="62"/>
    <x v="0"/>
  </r>
  <r>
    <x v="33"/>
    <x v="56"/>
    <x v="63"/>
    <x v="0"/>
  </r>
  <r>
    <x v="5"/>
    <x v="57"/>
    <x v="64"/>
    <x v="0"/>
  </r>
  <r>
    <x v="34"/>
    <x v="58"/>
    <x v="65"/>
    <x v="0"/>
  </r>
  <r>
    <x v="20"/>
    <x v="51"/>
    <x v="66"/>
    <x v="0"/>
  </r>
  <r>
    <x v="14"/>
    <x v="59"/>
    <x v="67"/>
    <x v="1"/>
  </r>
  <r>
    <x v="27"/>
    <x v="46"/>
    <x v="68"/>
    <x v="1"/>
  </r>
  <r>
    <x v="26"/>
    <x v="60"/>
    <x v="69"/>
    <x v="0"/>
  </r>
  <r>
    <x v="35"/>
    <x v="25"/>
    <x v="70"/>
    <x v="0"/>
  </r>
  <r>
    <x v="21"/>
    <x v="24"/>
    <x v="71"/>
    <x v="0"/>
  </r>
  <r>
    <x v="35"/>
    <x v="61"/>
    <x v="72"/>
    <x v="0"/>
  </r>
  <r>
    <x v="36"/>
    <x v="62"/>
    <x v="73"/>
    <x v="0"/>
  </r>
  <r>
    <x v="0"/>
    <x v="63"/>
    <x v="74"/>
    <x v="1"/>
  </r>
  <r>
    <x v="37"/>
    <x v="55"/>
    <x v="75"/>
    <x v="0"/>
  </r>
  <r>
    <x v="38"/>
    <x v="64"/>
    <x v="76"/>
    <x v="1"/>
  </r>
  <r>
    <x v="13"/>
    <x v="65"/>
    <x v="77"/>
    <x v="1"/>
  </r>
  <r>
    <x v="19"/>
    <x v="66"/>
    <x v="78"/>
    <x v="0"/>
  </r>
  <r>
    <x v="14"/>
    <x v="67"/>
    <x v="79"/>
    <x v="1"/>
  </r>
  <r>
    <x v="28"/>
    <x v="68"/>
    <x v="80"/>
    <x v="0"/>
  </r>
  <r>
    <x v="39"/>
    <x v="69"/>
    <x v="81"/>
    <x v="0"/>
  </r>
  <r>
    <x v="21"/>
    <x v="70"/>
    <x v="82"/>
    <x v="0"/>
  </r>
  <r>
    <x v="40"/>
    <x v="71"/>
    <x v="83"/>
    <x v="1"/>
  </r>
  <r>
    <x v="40"/>
    <x v="72"/>
    <x v="84"/>
    <x v="0"/>
  </r>
  <r>
    <x v="9"/>
    <x v="73"/>
    <x v="85"/>
    <x v="0"/>
  </r>
  <r>
    <x v="20"/>
    <x v="74"/>
    <x v="86"/>
    <x v="1"/>
  </r>
  <r>
    <x v="41"/>
    <x v="75"/>
    <x v="87"/>
    <x v="0"/>
  </r>
  <r>
    <x v="38"/>
    <x v="76"/>
    <x v="88"/>
    <x v="0"/>
  </r>
  <r>
    <x v="27"/>
    <x v="33"/>
    <x v="89"/>
    <x v="0"/>
  </r>
  <r>
    <x v="29"/>
    <x v="77"/>
    <x v="90"/>
    <x v="1"/>
  </r>
  <r>
    <x v="1"/>
    <x v="78"/>
    <x v="91"/>
    <x v="1"/>
  </r>
  <r>
    <x v="42"/>
    <x v="79"/>
    <x v="92"/>
    <x v="1"/>
  </r>
  <r>
    <x v="5"/>
    <x v="80"/>
    <x v="93"/>
    <x v="0"/>
  </r>
  <r>
    <x v="7"/>
    <x v="28"/>
    <x v="94"/>
    <x v="0"/>
  </r>
  <r>
    <x v="0"/>
    <x v="81"/>
    <x v="95"/>
    <x v="1"/>
  </r>
  <r>
    <x v="43"/>
    <x v="82"/>
    <x v="96"/>
    <x v="0"/>
  </r>
  <r>
    <x v="34"/>
    <x v="32"/>
    <x v="97"/>
    <x v="0"/>
  </r>
  <r>
    <x v="1"/>
    <x v="83"/>
    <x v="98"/>
    <x v="0"/>
  </r>
  <r>
    <x v="40"/>
    <x v="20"/>
    <x v="99"/>
    <x v="0"/>
  </r>
  <r>
    <x v="44"/>
    <x v="84"/>
    <x v="100"/>
    <x v="1"/>
  </r>
  <r>
    <x v="20"/>
    <x v="23"/>
    <x v="101"/>
    <x v="0"/>
  </r>
  <r>
    <x v="16"/>
    <x v="85"/>
    <x v="102"/>
    <x v="0"/>
  </r>
  <r>
    <x v="28"/>
    <x v="86"/>
    <x v="103"/>
    <x v="1"/>
  </r>
  <r>
    <x v="13"/>
    <x v="87"/>
    <x v="104"/>
    <x v="0"/>
  </r>
  <r>
    <x v="7"/>
    <x v="88"/>
    <x v="105"/>
    <x v="1"/>
  </r>
  <r>
    <x v="21"/>
    <x v="89"/>
    <x v="106"/>
    <x v="0"/>
  </r>
  <r>
    <x v="9"/>
    <x v="90"/>
    <x v="107"/>
    <x v="1"/>
  </r>
  <r>
    <x v="45"/>
    <x v="91"/>
    <x v="108"/>
    <x v="1"/>
  </r>
  <r>
    <x v="13"/>
    <x v="92"/>
    <x v="109"/>
    <x v="1"/>
  </r>
  <r>
    <x v="12"/>
    <x v="93"/>
    <x v="110"/>
    <x v="1"/>
  </r>
  <r>
    <x v="14"/>
    <x v="94"/>
    <x v="111"/>
    <x v="1"/>
  </r>
  <r>
    <x v="19"/>
    <x v="75"/>
    <x v="111"/>
    <x v="0"/>
  </r>
  <r>
    <x v="25"/>
    <x v="95"/>
    <x v="112"/>
    <x v="1"/>
  </r>
  <r>
    <x v="35"/>
    <x v="96"/>
    <x v="113"/>
    <x v="0"/>
  </r>
  <r>
    <x v="34"/>
    <x v="97"/>
    <x v="114"/>
    <x v="0"/>
  </r>
  <r>
    <x v="24"/>
    <x v="69"/>
    <x v="115"/>
    <x v="0"/>
  </r>
  <r>
    <x v="12"/>
    <x v="98"/>
    <x v="116"/>
    <x v="0"/>
  </r>
  <r>
    <x v="40"/>
    <x v="49"/>
    <x v="117"/>
    <x v="0"/>
  </r>
  <r>
    <x v="22"/>
    <x v="46"/>
    <x v="118"/>
    <x v="1"/>
  </r>
  <r>
    <x v="40"/>
    <x v="99"/>
    <x v="119"/>
    <x v="0"/>
  </r>
  <r>
    <x v="10"/>
    <x v="100"/>
    <x v="120"/>
    <x v="1"/>
  </r>
  <r>
    <x v="29"/>
    <x v="48"/>
    <x v="121"/>
    <x v="0"/>
  </r>
  <r>
    <x v="45"/>
    <x v="101"/>
    <x v="122"/>
    <x v="1"/>
  </r>
  <r>
    <x v="9"/>
    <x v="102"/>
    <x v="123"/>
    <x v="1"/>
  </r>
  <r>
    <x v="36"/>
    <x v="103"/>
    <x v="124"/>
    <x v="0"/>
  </r>
  <r>
    <x v="5"/>
    <x v="6"/>
    <x v="125"/>
    <x v="0"/>
  </r>
  <r>
    <x v="0"/>
    <x v="104"/>
    <x v="126"/>
    <x v="0"/>
  </r>
  <r>
    <x v="39"/>
    <x v="105"/>
    <x v="127"/>
    <x v="0"/>
  </r>
  <r>
    <x v="21"/>
    <x v="41"/>
    <x v="128"/>
    <x v="1"/>
  </r>
  <r>
    <x v="23"/>
    <x v="106"/>
    <x v="129"/>
    <x v="1"/>
  </r>
  <r>
    <x v="46"/>
    <x v="107"/>
    <x v="130"/>
    <x v="1"/>
  </r>
  <r>
    <x v="40"/>
    <x v="108"/>
    <x v="131"/>
    <x v="0"/>
  </r>
  <r>
    <x v="47"/>
    <x v="12"/>
    <x v="131"/>
    <x v="0"/>
  </r>
  <r>
    <x v="48"/>
    <x v="109"/>
    <x v="132"/>
    <x v="0"/>
  </r>
  <r>
    <x v="13"/>
    <x v="74"/>
    <x v="133"/>
    <x v="0"/>
  </r>
  <r>
    <x v="49"/>
    <x v="110"/>
    <x v="134"/>
    <x v="1"/>
  </r>
  <r>
    <x v="22"/>
    <x v="111"/>
    <x v="135"/>
    <x v="0"/>
  </r>
  <r>
    <x v="23"/>
    <x v="112"/>
    <x v="136"/>
    <x v="0"/>
  </r>
  <r>
    <x v="50"/>
    <x v="113"/>
    <x v="137"/>
    <x v="1"/>
  </r>
  <r>
    <x v="51"/>
    <x v="114"/>
    <x v="138"/>
    <x v="0"/>
  </r>
  <r>
    <x v="48"/>
    <x v="115"/>
    <x v="139"/>
    <x v="1"/>
  </r>
  <r>
    <x v="29"/>
    <x v="43"/>
    <x v="140"/>
    <x v="0"/>
  </r>
  <r>
    <x v="17"/>
    <x v="116"/>
    <x v="141"/>
    <x v="0"/>
  </r>
  <r>
    <x v="40"/>
    <x v="117"/>
    <x v="142"/>
    <x v="1"/>
  </r>
  <r>
    <x v="16"/>
    <x v="118"/>
    <x v="143"/>
    <x v="1"/>
  </r>
  <r>
    <x v="10"/>
    <x v="119"/>
    <x v="144"/>
    <x v="1"/>
  </r>
  <r>
    <x v="1"/>
    <x v="120"/>
    <x v="145"/>
    <x v="0"/>
  </r>
  <r>
    <x v="21"/>
    <x v="121"/>
    <x v="146"/>
    <x v="1"/>
  </r>
  <r>
    <x v="44"/>
    <x v="122"/>
    <x v="147"/>
    <x v="1"/>
  </r>
  <r>
    <x v="22"/>
    <x v="123"/>
    <x v="148"/>
    <x v="0"/>
  </r>
  <r>
    <x v="22"/>
    <x v="124"/>
    <x v="149"/>
    <x v="1"/>
  </r>
  <r>
    <x v="45"/>
    <x v="125"/>
    <x v="150"/>
    <x v="1"/>
  </r>
  <r>
    <x v="16"/>
    <x v="126"/>
    <x v="151"/>
    <x v="1"/>
  </r>
  <r>
    <x v="1"/>
    <x v="127"/>
    <x v="152"/>
    <x v="0"/>
  </r>
  <r>
    <x v="46"/>
    <x v="128"/>
    <x v="152"/>
    <x v="0"/>
  </r>
  <r>
    <x v="12"/>
    <x v="129"/>
    <x v="153"/>
    <x v="0"/>
  </r>
  <r>
    <x v="22"/>
    <x v="130"/>
    <x v="153"/>
    <x v="0"/>
  </r>
  <r>
    <x v="34"/>
    <x v="131"/>
    <x v="154"/>
    <x v="1"/>
  </r>
  <r>
    <x v="4"/>
    <x v="132"/>
    <x v="155"/>
    <x v="0"/>
  </r>
  <r>
    <x v="16"/>
    <x v="41"/>
    <x v="156"/>
    <x v="1"/>
  </r>
  <r>
    <x v="15"/>
    <x v="133"/>
    <x v="157"/>
    <x v="1"/>
  </r>
  <r>
    <x v="32"/>
    <x v="134"/>
    <x v="158"/>
    <x v="0"/>
  </r>
  <r>
    <x v="25"/>
    <x v="135"/>
    <x v="159"/>
    <x v="0"/>
  </r>
  <r>
    <x v="16"/>
    <x v="136"/>
    <x v="160"/>
    <x v="1"/>
  </r>
  <r>
    <x v="27"/>
    <x v="12"/>
    <x v="161"/>
    <x v="0"/>
  </r>
  <r>
    <x v="3"/>
    <x v="137"/>
    <x v="162"/>
    <x v="1"/>
  </r>
  <r>
    <x v="25"/>
    <x v="138"/>
    <x v="163"/>
    <x v="0"/>
  </r>
  <r>
    <x v="9"/>
    <x v="139"/>
    <x v="164"/>
    <x v="0"/>
  </r>
  <r>
    <x v="12"/>
    <x v="140"/>
    <x v="165"/>
    <x v="0"/>
  </r>
  <r>
    <x v="17"/>
    <x v="32"/>
    <x v="166"/>
    <x v="1"/>
  </r>
  <r>
    <x v="10"/>
    <x v="31"/>
    <x v="167"/>
    <x v="1"/>
  </r>
  <r>
    <x v="9"/>
    <x v="141"/>
    <x v="168"/>
    <x v="0"/>
  </r>
  <r>
    <x v="47"/>
    <x v="142"/>
    <x v="169"/>
    <x v="1"/>
  </r>
  <r>
    <x v="29"/>
    <x v="143"/>
    <x v="170"/>
    <x v="1"/>
  </r>
  <r>
    <x v="16"/>
    <x v="144"/>
    <x v="171"/>
    <x v="0"/>
  </r>
  <r>
    <x v="13"/>
    <x v="145"/>
    <x v="172"/>
    <x v="1"/>
  </r>
  <r>
    <x v="8"/>
    <x v="141"/>
    <x v="173"/>
    <x v="0"/>
  </r>
  <r>
    <x v="31"/>
    <x v="126"/>
    <x v="174"/>
    <x v="0"/>
  </r>
  <r>
    <x v="46"/>
    <x v="146"/>
    <x v="175"/>
    <x v="0"/>
  </r>
  <r>
    <x v="48"/>
    <x v="147"/>
    <x v="176"/>
    <x v="0"/>
  </r>
  <r>
    <x v="21"/>
    <x v="148"/>
    <x v="176"/>
    <x v="0"/>
  </r>
  <r>
    <x v="1"/>
    <x v="149"/>
    <x v="177"/>
    <x v="0"/>
  </r>
  <r>
    <x v="9"/>
    <x v="80"/>
    <x v="178"/>
    <x v="0"/>
  </r>
  <r>
    <x v="52"/>
    <x v="150"/>
    <x v="179"/>
    <x v="0"/>
  </r>
  <r>
    <x v="16"/>
    <x v="50"/>
    <x v="180"/>
    <x v="1"/>
  </r>
  <r>
    <x v="6"/>
    <x v="151"/>
    <x v="181"/>
    <x v="1"/>
  </r>
  <r>
    <x v="49"/>
    <x v="152"/>
    <x v="182"/>
    <x v="1"/>
  </r>
  <r>
    <x v="20"/>
    <x v="126"/>
    <x v="183"/>
    <x v="0"/>
  </r>
  <r>
    <x v="11"/>
    <x v="2"/>
    <x v="184"/>
    <x v="1"/>
  </r>
  <r>
    <x v="15"/>
    <x v="153"/>
    <x v="185"/>
    <x v="0"/>
  </r>
  <r>
    <x v="2"/>
    <x v="58"/>
    <x v="186"/>
    <x v="1"/>
  </r>
  <r>
    <x v="37"/>
    <x v="154"/>
    <x v="187"/>
    <x v="0"/>
  </r>
  <r>
    <x v="13"/>
    <x v="155"/>
    <x v="188"/>
    <x v="0"/>
  </r>
  <r>
    <x v="49"/>
    <x v="76"/>
    <x v="189"/>
    <x v="0"/>
  </r>
  <r>
    <x v="0"/>
    <x v="156"/>
    <x v="190"/>
    <x v="0"/>
  </r>
  <r>
    <x v="7"/>
    <x v="157"/>
    <x v="191"/>
    <x v="1"/>
  </r>
  <r>
    <x v="1"/>
    <x v="158"/>
    <x v="192"/>
    <x v="1"/>
  </r>
  <r>
    <x v="53"/>
    <x v="82"/>
    <x v="193"/>
    <x v="0"/>
  </r>
  <r>
    <x v="6"/>
    <x v="159"/>
    <x v="194"/>
    <x v="0"/>
  </r>
  <r>
    <x v="17"/>
    <x v="114"/>
    <x v="195"/>
    <x v="0"/>
  </r>
  <r>
    <x v="38"/>
    <x v="160"/>
    <x v="196"/>
    <x v="0"/>
  </r>
  <r>
    <x v="18"/>
    <x v="161"/>
    <x v="197"/>
    <x v="1"/>
  </r>
  <r>
    <x v="44"/>
    <x v="157"/>
    <x v="198"/>
    <x v="1"/>
  </r>
  <r>
    <x v="3"/>
    <x v="162"/>
    <x v="199"/>
    <x v="0"/>
  </r>
  <r>
    <x v="49"/>
    <x v="73"/>
    <x v="200"/>
    <x v="0"/>
  </r>
  <r>
    <x v="24"/>
    <x v="163"/>
    <x v="201"/>
    <x v="0"/>
  </r>
  <r>
    <x v="54"/>
    <x v="164"/>
    <x v="202"/>
    <x v="1"/>
  </r>
  <r>
    <x v="38"/>
    <x v="165"/>
    <x v="203"/>
    <x v="1"/>
  </r>
  <r>
    <x v="34"/>
    <x v="166"/>
    <x v="204"/>
    <x v="0"/>
  </r>
  <r>
    <x v="16"/>
    <x v="167"/>
    <x v="205"/>
    <x v="0"/>
  </r>
  <r>
    <x v="20"/>
    <x v="168"/>
    <x v="206"/>
    <x v="0"/>
  </r>
  <r>
    <x v="0"/>
    <x v="169"/>
    <x v="207"/>
    <x v="1"/>
  </r>
  <r>
    <x v="37"/>
    <x v="168"/>
    <x v="208"/>
    <x v="0"/>
  </r>
  <r>
    <x v="3"/>
    <x v="170"/>
    <x v="209"/>
    <x v="0"/>
  </r>
  <r>
    <x v="6"/>
    <x v="171"/>
    <x v="210"/>
    <x v="1"/>
  </r>
  <r>
    <x v="5"/>
    <x v="105"/>
    <x v="211"/>
    <x v="1"/>
  </r>
  <r>
    <x v="0"/>
    <x v="172"/>
    <x v="212"/>
    <x v="1"/>
  </r>
  <r>
    <x v="43"/>
    <x v="173"/>
    <x v="213"/>
    <x v="1"/>
  </r>
  <r>
    <x v="30"/>
    <x v="4"/>
    <x v="214"/>
    <x v="1"/>
  </r>
  <r>
    <x v="22"/>
    <x v="72"/>
    <x v="215"/>
    <x v="1"/>
  </r>
  <r>
    <x v="22"/>
    <x v="107"/>
    <x v="216"/>
    <x v="0"/>
  </r>
  <r>
    <x v="12"/>
    <x v="121"/>
    <x v="217"/>
    <x v="1"/>
  </r>
  <r>
    <x v="1"/>
    <x v="174"/>
    <x v="218"/>
    <x v="0"/>
  </r>
  <r>
    <x v="20"/>
    <x v="161"/>
    <x v="219"/>
    <x v="1"/>
  </r>
  <r>
    <x v="43"/>
    <x v="175"/>
    <x v="220"/>
    <x v="1"/>
  </r>
  <r>
    <x v="44"/>
    <x v="176"/>
    <x v="221"/>
    <x v="0"/>
  </r>
  <r>
    <x v="7"/>
    <x v="129"/>
    <x v="222"/>
    <x v="0"/>
  </r>
  <r>
    <x v="38"/>
    <x v="177"/>
    <x v="223"/>
    <x v="0"/>
  </r>
  <r>
    <x v="55"/>
    <x v="178"/>
    <x v="224"/>
    <x v="0"/>
  </r>
  <r>
    <x v="24"/>
    <x v="81"/>
    <x v="225"/>
    <x v="0"/>
  </r>
  <r>
    <x v="42"/>
    <x v="179"/>
    <x v="226"/>
    <x v="1"/>
  </r>
  <r>
    <x v="2"/>
    <x v="180"/>
    <x v="227"/>
    <x v="1"/>
  </r>
  <r>
    <x v="17"/>
    <x v="55"/>
    <x v="227"/>
    <x v="1"/>
  </r>
  <r>
    <x v="41"/>
    <x v="181"/>
    <x v="228"/>
    <x v="0"/>
  </r>
  <r>
    <x v="49"/>
    <x v="182"/>
    <x v="229"/>
    <x v="0"/>
  </r>
  <r>
    <x v="35"/>
    <x v="183"/>
    <x v="230"/>
    <x v="0"/>
  </r>
  <r>
    <x v="20"/>
    <x v="184"/>
    <x v="231"/>
    <x v="0"/>
  </r>
  <r>
    <x v="17"/>
    <x v="18"/>
    <x v="232"/>
    <x v="0"/>
  </r>
  <r>
    <x v="9"/>
    <x v="175"/>
    <x v="233"/>
    <x v="1"/>
  </r>
  <r>
    <x v="9"/>
    <x v="185"/>
    <x v="234"/>
    <x v="0"/>
  </r>
  <r>
    <x v="56"/>
    <x v="36"/>
    <x v="235"/>
    <x v="0"/>
  </r>
  <r>
    <x v="57"/>
    <x v="186"/>
    <x v="236"/>
    <x v="0"/>
  </r>
  <r>
    <x v="30"/>
    <x v="187"/>
    <x v="237"/>
    <x v="0"/>
  </r>
  <r>
    <x v="45"/>
    <x v="188"/>
    <x v="238"/>
    <x v="1"/>
  </r>
  <r>
    <x v="19"/>
    <x v="189"/>
    <x v="239"/>
    <x v="0"/>
  </r>
  <r>
    <x v="8"/>
    <x v="83"/>
    <x v="240"/>
    <x v="1"/>
  </r>
  <r>
    <x v="37"/>
    <x v="190"/>
    <x v="241"/>
    <x v="0"/>
  </r>
  <r>
    <x v="24"/>
    <x v="191"/>
    <x v="242"/>
    <x v="0"/>
  </r>
  <r>
    <x v="53"/>
    <x v="192"/>
    <x v="243"/>
    <x v="0"/>
  </r>
  <r>
    <x v="7"/>
    <x v="193"/>
    <x v="244"/>
    <x v="1"/>
  </r>
  <r>
    <x v="40"/>
    <x v="134"/>
    <x v="245"/>
    <x v="0"/>
  </r>
  <r>
    <x v="45"/>
    <x v="194"/>
    <x v="246"/>
    <x v="1"/>
  </r>
  <r>
    <x v="58"/>
    <x v="195"/>
    <x v="247"/>
    <x v="0"/>
  </r>
  <r>
    <x v="32"/>
    <x v="17"/>
    <x v="248"/>
    <x v="0"/>
  </r>
  <r>
    <x v="22"/>
    <x v="196"/>
    <x v="249"/>
    <x v="1"/>
  </r>
  <r>
    <x v="28"/>
    <x v="197"/>
    <x v="250"/>
    <x v="1"/>
  </r>
  <r>
    <x v="20"/>
    <x v="118"/>
    <x v="251"/>
    <x v="0"/>
  </r>
  <r>
    <x v="8"/>
    <x v="198"/>
    <x v="252"/>
    <x v="1"/>
  </r>
  <r>
    <x v="1"/>
    <x v="199"/>
    <x v="253"/>
    <x v="0"/>
  </r>
  <r>
    <x v="0"/>
    <x v="200"/>
    <x v="254"/>
    <x v="1"/>
  </r>
  <r>
    <x v="45"/>
    <x v="201"/>
    <x v="255"/>
    <x v="0"/>
  </r>
  <r>
    <x v="48"/>
    <x v="202"/>
    <x v="256"/>
    <x v="1"/>
  </r>
  <r>
    <x v="58"/>
    <x v="143"/>
    <x v="257"/>
    <x v="0"/>
  </r>
  <r>
    <x v="28"/>
    <x v="203"/>
    <x v="258"/>
    <x v="1"/>
  </r>
  <r>
    <x v="22"/>
    <x v="204"/>
    <x v="259"/>
    <x v="0"/>
  </r>
  <r>
    <x v="5"/>
    <x v="41"/>
    <x v="260"/>
    <x v="0"/>
  </r>
  <r>
    <x v="39"/>
    <x v="205"/>
    <x v="261"/>
    <x v="0"/>
  </r>
  <r>
    <x v="42"/>
    <x v="206"/>
    <x v="262"/>
    <x v="0"/>
  </r>
  <r>
    <x v="32"/>
    <x v="207"/>
    <x v="263"/>
    <x v="1"/>
  </r>
  <r>
    <x v="55"/>
    <x v="166"/>
    <x v="264"/>
    <x v="1"/>
  </r>
  <r>
    <x v="29"/>
    <x v="208"/>
    <x v="265"/>
    <x v="1"/>
  </r>
  <r>
    <x v="36"/>
    <x v="29"/>
    <x v="266"/>
    <x v="0"/>
  </r>
  <r>
    <x v="29"/>
    <x v="173"/>
    <x v="267"/>
    <x v="0"/>
  </r>
  <r>
    <x v="12"/>
    <x v="209"/>
    <x v="268"/>
    <x v="1"/>
  </r>
  <r>
    <x v="12"/>
    <x v="210"/>
    <x v="269"/>
    <x v="0"/>
  </r>
  <r>
    <x v="49"/>
    <x v="211"/>
    <x v="270"/>
    <x v="1"/>
  </r>
  <r>
    <x v="58"/>
    <x v="87"/>
    <x v="271"/>
    <x v="1"/>
  </r>
  <r>
    <x v="5"/>
    <x v="212"/>
    <x v="272"/>
    <x v="0"/>
  </r>
  <r>
    <x v="10"/>
    <x v="213"/>
    <x v="273"/>
    <x v="1"/>
  </r>
  <r>
    <x v="24"/>
    <x v="198"/>
    <x v="274"/>
    <x v="1"/>
  </r>
  <r>
    <x v="15"/>
    <x v="214"/>
    <x v="275"/>
    <x v="1"/>
  </r>
  <r>
    <x v="10"/>
    <x v="17"/>
    <x v="276"/>
    <x v="0"/>
  </r>
  <r>
    <x v="31"/>
    <x v="215"/>
    <x v="277"/>
    <x v="0"/>
  </r>
  <r>
    <x v="6"/>
    <x v="216"/>
    <x v="278"/>
    <x v="0"/>
  </r>
  <r>
    <x v="22"/>
    <x v="82"/>
    <x v="279"/>
    <x v="0"/>
  </r>
  <r>
    <x v="12"/>
    <x v="217"/>
    <x v="280"/>
    <x v="0"/>
  </r>
  <r>
    <x v="0"/>
    <x v="138"/>
    <x v="281"/>
    <x v="1"/>
  </r>
  <r>
    <x v="5"/>
    <x v="218"/>
    <x v="282"/>
    <x v="0"/>
  </r>
  <r>
    <x v="39"/>
    <x v="219"/>
    <x v="283"/>
    <x v="0"/>
  </r>
  <r>
    <x v="36"/>
    <x v="205"/>
    <x v="284"/>
    <x v="0"/>
  </r>
  <r>
    <x v="37"/>
    <x v="220"/>
    <x v="285"/>
    <x v="1"/>
  </r>
  <r>
    <x v="49"/>
    <x v="129"/>
    <x v="286"/>
    <x v="1"/>
  </r>
  <r>
    <x v="3"/>
    <x v="221"/>
    <x v="287"/>
    <x v="0"/>
  </r>
  <r>
    <x v="22"/>
    <x v="113"/>
    <x v="288"/>
    <x v="1"/>
  </r>
  <r>
    <x v="7"/>
    <x v="222"/>
    <x v="289"/>
    <x v="0"/>
  </r>
  <r>
    <x v="22"/>
    <x v="223"/>
    <x v="290"/>
    <x v="0"/>
  </r>
  <r>
    <x v="11"/>
    <x v="103"/>
    <x v="291"/>
    <x v="1"/>
  </r>
  <r>
    <x v="21"/>
    <x v="224"/>
    <x v="292"/>
    <x v="1"/>
  </r>
  <r>
    <x v="4"/>
    <x v="225"/>
    <x v="293"/>
    <x v="0"/>
  </r>
  <r>
    <x v="42"/>
    <x v="81"/>
    <x v="294"/>
    <x v="1"/>
  </r>
  <r>
    <x v="0"/>
    <x v="226"/>
    <x v="295"/>
    <x v="1"/>
  </r>
  <r>
    <x v="25"/>
    <x v="227"/>
    <x v="296"/>
    <x v="1"/>
  </r>
  <r>
    <x v="37"/>
    <x v="228"/>
    <x v="297"/>
    <x v="0"/>
  </r>
  <r>
    <x v="32"/>
    <x v="229"/>
    <x v="298"/>
    <x v="0"/>
  </r>
  <r>
    <x v="48"/>
    <x v="230"/>
    <x v="299"/>
    <x v="0"/>
  </r>
  <r>
    <x v="35"/>
    <x v="231"/>
    <x v="300"/>
    <x v="0"/>
  </r>
  <r>
    <x v="7"/>
    <x v="232"/>
    <x v="301"/>
    <x v="0"/>
  </r>
  <r>
    <x v="44"/>
    <x v="112"/>
    <x v="302"/>
    <x v="0"/>
  </r>
  <r>
    <x v="48"/>
    <x v="233"/>
    <x v="303"/>
    <x v="0"/>
  </r>
  <r>
    <x v="30"/>
    <x v="234"/>
    <x v="304"/>
    <x v="0"/>
  </r>
  <r>
    <x v="43"/>
    <x v="198"/>
    <x v="305"/>
    <x v="0"/>
  </r>
  <r>
    <x v="58"/>
    <x v="235"/>
    <x v="306"/>
    <x v="1"/>
  </r>
  <r>
    <x v="35"/>
    <x v="236"/>
    <x v="307"/>
    <x v="0"/>
  </r>
  <r>
    <x v="29"/>
    <x v="237"/>
    <x v="308"/>
    <x v="1"/>
  </r>
  <r>
    <x v="16"/>
    <x v="238"/>
    <x v="309"/>
    <x v="0"/>
  </r>
  <r>
    <x v="37"/>
    <x v="94"/>
    <x v="310"/>
    <x v="1"/>
  </r>
  <r>
    <x v="10"/>
    <x v="239"/>
    <x v="311"/>
    <x v="0"/>
  </r>
  <r>
    <x v="46"/>
    <x v="240"/>
    <x v="312"/>
    <x v="0"/>
  </r>
  <r>
    <x v="29"/>
    <x v="241"/>
    <x v="313"/>
    <x v="1"/>
  </r>
  <r>
    <x v="35"/>
    <x v="242"/>
    <x v="314"/>
    <x v="0"/>
  </r>
  <r>
    <x v="22"/>
    <x v="159"/>
    <x v="315"/>
    <x v="0"/>
  </r>
  <r>
    <x v="53"/>
    <x v="243"/>
    <x v="316"/>
    <x v="1"/>
  </r>
  <r>
    <x v="46"/>
    <x v="108"/>
    <x v="317"/>
    <x v="0"/>
  </r>
  <r>
    <x v="7"/>
    <x v="244"/>
    <x v="318"/>
    <x v="0"/>
  </r>
  <r>
    <x v="22"/>
    <x v="245"/>
    <x v="319"/>
    <x v="0"/>
  </r>
  <r>
    <x v="22"/>
    <x v="246"/>
    <x v="320"/>
    <x v="0"/>
  </r>
  <r>
    <x v="11"/>
    <x v="247"/>
    <x v="321"/>
    <x v="0"/>
  </r>
  <r>
    <x v="21"/>
    <x v="248"/>
    <x v="322"/>
    <x v="1"/>
  </r>
  <r>
    <x v="40"/>
    <x v="232"/>
    <x v="323"/>
    <x v="1"/>
  </r>
  <r>
    <x v="28"/>
    <x v="174"/>
    <x v="324"/>
    <x v="0"/>
  </r>
  <r>
    <x v="27"/>
    <x v="104"/>
    <x v="325"/>
    <x v="0"/>
  </r>
  <r>
    <x v="12"/>
    <x v="249"/>
    <x v="326"/>
    <x v="0"/>
  </r>
  <r>
    <x v="32"/>
    <x v="79"/>
    <x v="327"/>
    <x v="1"/>
  </r>
  <r>
    <x v="38"/>
    <x v="250"/>
    <x v="327"/>
    <x v="0"/>
  </r>
  <r>
    <x v="0"/>
    <x v="251"/>
    <x v="328"/>
    <x v="1"/>
  </r>
  <r>
    <x v="37"/>
    <x v="252"/>
    <x v="329"/>
    <x v="0"/>
  </r>
  <r>
    <x v="9"/>
    <x v="169"/>
    <x v="330"/>
    <x v="1"/>
  </r>
  <r>
    <x v="39"/>
    <x v="115"/>
    <x v="331"/>
    <x v="0"/>
  </r>
  <r>
    <x v="39"/>
    <x v="149"/>
    <x v="332"/>
    <x v="0"/>
  </r>
  <r>
    <x v="22"/>
    <x v="253"/>
    <x v="333"/>
    <x v="1"/>
  </r>
  <r>
    <x v="36"/>
    <x v="192"/>
    <x v="334"/>
    <x v="1"/>
  </r>
  <r>
    <x v="10"/>
    <x v="254"/>
    <x v="335"/>
    <x v="1"/>
  </r>
  <r>
    <x v="12"/>
    <x v="90"/>
    <x v="336"/>
    <x v="0"/>
  </r>
  <r>
    <x v="45"/>
    <x v="255"/>
    <x v="337"/>
    <x v="0"/>
  </r>
  <r>
    <x v="45"/>
    <x v="221"/>
    <x v="338"/>
    <x v="1"/>
  </r>
  <r>
    <x v="12"/>
    <x v="226"/>
    <x v="339"/>
    <x v="1"/>
  </r>
  <r>
    <x v="46"/>
    <x v="48"/>
    <x v="340"/>
    <x v="0"/>
  </r>
  <r>
    <x v="10"/>
    <x v="76"/>
    <x v="341"/>
    <x v="1"/>
  </r>
  <r>
    <x v="21"/>
    <x v="256"/>
    <x v="342"/>
    <x v="0"/>
  </r>
  <r>
    <x v="14"/>
    <x v="257"/>
    <x v="343"/>
    <x v="1"/>
  </r>
  <r>
    <x v="36"/>
    <x v="67"/>
    <x v="344"/>
    <x v="1"/>
  </r>
  <r>
    <x v="15"/>
    <x v="258"/>
    <x v="345"/>
    <x v="0"/>
  </r>
  <r>
    <x v="7"/>
    <x v="50"/>
    <x v="346"/>
    <x v="1"/>
  </r>
  <r>
    <x v="45"/>
    <x v="259"/>
    <x v="347"/>
    <x v="0"/>
  </r>
  <r>
    <x v="8"/>
    <x v="260"/>
    <x v="348"/>
    <x v="0"/>
  </r>
  <r>
    <x v="5"/>
    <x v="261"/>
    <x v="349"/>
    <x v="1"/>
  </r>
  <r>
    <x v="10"/>
    <x v="262"/>
    <x v="350"/>
    <x v="0"/>
  </r>
  <r>
    <x v="11"/>
    <x v="193"/>
    <x v="351"/>
    <x v="0"/>
  </r>
  <r>
    <x v="9"/>
    <x v="263"/>
    <x v="352"/>
    <x v="0"/>
  </r>
  <r>
    <x v="31"/>
    <x v="83"/>
    <x v="353"/>
    <x v="0"/>
  </r>
  <r>
    <x v="59"/>
    <x v="219"/>
    <x v="354"/>
    <x v="0"/>
  </r>
  <r>
    <x v="28"/>
    <x v="264"/>
    <x v="355"/>
    <x v="1"/>
  </r>
  <r>
    <x v="13"/>
    <x v="265"/>
    <x v="356"/>
    <x v="1"/>
  </r>
  <r>
    <x v="60"/>
    <x v="266"/>
    <x v="357"/>
    <x v="1"/>
  </r>
  <r>
    <x v="5"/>
    <x v="267"/>
    <x v="358"/>
    <x v="0"/>
  </r>
  <r>
    <x v="35"/>
    <x v="268"/>
    <x v="359"/>
    <x v="1"/>
  </r>
  <r>
    <x v="35"/>
    <x v="215"/>
    <x v="360"/>
    <x v="0"/>
  </r>
  <r>
    <x v="20"/>
    <x v="202"/>
    <x v="361"/>
    <x v="0"/>
  </r>
  <r>
    <x v="24"/>
    <x v="87"/>
    <x v="362"/>
    <x v="0"/>
  </r>
  <r>
    <x v="39"/>
    <x v="269"/>
    <x v="363"/>
    <x v="0"/>
  </r>
  <r>
    <x v="46"/>
    <x v="75"/>
    <x v="364"/>
    <x v="1"/>
  </r>
  <r>
    <x v="44"/>
    <x v="270"/>
    <x v="365"/>
    <x v="1"/>
  </r>
  <r>
    <x v="45"/>
    <x v="271"/>
    <x v="366"/>
    <x v="1"/>
  </r>
  <r>
    <x v="4"/>
    <x v="272"/>
    <x v="367"/>
    <x v="0"/>
  </r>
  <r>
    <x v="6"/>
    <x v="261"/>
    <x v="368"/>
    <x v="0"/>
  </r>
  <r>
    <x v="37"/>
    <x v="223"/>
    <x v="369"/>
    <x v="0"/>
  </r>
  <r>
    <x v="13"/>
    <x v="273"/>
    <x v="370"/>
    <x v="0"/>
  </r>
  <r>
    <x v="8"/>
    <x v="102"/>
    <x v="371"/>
    <x v="1"/>
  </r>
  <r>
    <x v="38"/>
    <x v="211"/>
    <x v="371"/>
    <x v="1"/>
  </r>
  <r>
    <x v="1"/>
    <x v="219"/>
    <x v="372"/>
    <x v="0"/>
  </r>
  <r>
    <x v="47"/>
    <x v="268"/>
    <x v="373"/>
    <x v="0"/>
  </r>
  <r>
    <x v="8"/>
    <x v="274"/>
    <x v="374"/>
    <x v="0"/>
  </r>
  <r>
    <x v="6"/>
    <x v="255"/>
    <x v="375"/>
    <x v="1"/>
  </r>
  <r>
    <x v="45"/>
    <x v="275"/>
    <x v="376"/>
    <x v="1"/>
  </r>
  <r>
    <x v="8"/>
    <x v="236"/>
    <x v="377"/>
    <x v="1"/>
  </r>
  <r>
    <x v="0"/>
    <x v="276"/>
    <x v="378"/>
    <x v="1"/>
  </r>
  <r>
    <x v="9"/>
    <x v="56"/>
    <x v="379"/>
    <x v="0"/>
  </r>
  <r>
    <x v="16"/>
    <x v="226"/>
    <x v="380"/>
    <x v="0"/>
  </r>
  <r>
    <x v="31"/>
    <x v="277"/>
    <x v="381"/>
    <x v="0"/>
  </r>
  <r>
    <x v="27"/>
    <x v="278"/>
    <x v="382"/>
    <x v="0"/>
  </r>
  <r>
    <x v="12"/>
    <x v="279"/>
    <x v="383"/>
    <x v="1"/>
  </r>
  <r>
    <x v="5"/>
    <x v="280"/>
    <x v="383"/>
    <x v="1"/>
  </r>
  <r>
    <x v="1"/>
    <x v="281"/>
    <x v="384"/>
    <x v="0"/>
  </r>
  <r>
    <x v="61"/>
    <x v="188"/>
    <x v="385"/>
    <x v="1"/>
  </r>
  <r>
    <x v="55"/>
    <x v="231"/>
    <x v="386"/>
    <x v="0"/>
  </r>
  <r>
    <x v="25"/>
    <x v="282"/>
    <x v="387"/>
    <x v="0"/>
  </r>
  <r>
    <x v="13"/>
    <x v="13"/>
    <x v="388"/>
    <x v="1"/>
  </r>
  <r>
    <x v="31"/>
    <x v="283"/>
    <x v="389"/>
    <x v="0"/>
  </r>
  <r>
    <x v="35"/>
    <x v="128"/>
    <x v="389"/>
    <x v="0"/>
  </r>
  <r>
    <x v="29"/>
    <x v="284"/>
    <x v="390"/>
    <x v="1"/>
  </r>
  <r>
    <x v="46"/>
    <x v="285"/>
    <x v="391"/>
    <x v="1"/>
  </r>
  <r>
    <x v="16"/>
    <x v="268"/>
    <x v="392"/>
    <x v="1"/>
  </r>
  <r>
    <x v="40"/>
    <x v="286"/>
    <x v="393"/>
    <x v="1"/>
  </r>
  <r>
    <x v="16"/>
    <x v="287"/>
    <x v="394"/>
    <x v="1"/>
  </r>
  <r>
    <x v="51"/>
    <x v="187"/>
    <x v="394"/>
    <x v="1"/>
  </r>
  <r>
    <x v="55"/>
    <x v="282"/>
    <x v="395"/>
    <x v="1"/>
  </r>
  <r>
    <x v="10"/>
    <x v="263"/>
    <x v="396"/>
    <x v="0"/>
  </r>
  <r>
    <x v="49"/>
    <x v="262"/>
    <x v="397"/>
    <x v="1"/>
  </r>
  <r>
    <x v="14"/>
    <x v="264"/>
    <x v="398"/>
    <x v="1"/>
  </r>
  <r>
    <x v="0"/>
    <x v="288"/>
    <x v="399"/>
    <x v="0"/>
  </r>
  <r>
    <x v="13"/>
    <x v="67"/>
    <x v="400"/>
    <x v="1"/>
  </r>
  <r>
    <x v="35"/>
    <x v="289"/>
    <x v="401"/>
    <x v="0"/>
  </r>
  <r>
    <x v="34"/>
    <x v="290"/>
    <x v="402"/>
    <x v="0"/>
  </r>
  <r>
    <x v="34"/>
    <x v="291"/>
    <x v="403"/>
    <x v="0"/>
  </r>
  <r>
    <x v="0"/>
    <x v="264"/>
    <x v="404"/>
    <x v="0"/>
  </r>
  <r>
    <x v="14"/>
    <x v="292"/>
    <x v="405"/>
    <x v="0"/>
  </r>
  <r>
    <x v="44"/>
    <x v="69"/>
    <x v="406"/>
    <x v="0"/>
  </r>
  <r>
    <x v="13"/>
    <x v="164"/>
    <x v="407"/>
    <x v="1"/>
  </r>
  <r>
    <x v="19"/>
    <x v="293"/>
    <x v="408"/>
    <x v="1"/>
  </r>
  <r>
    <x v="37"/>
    <x v="294"/>
    <x v="408"/>
    <x v="0"/>
  </r>
  <r>
    <x v="46"/>
    <x v="217"/>
    <x v="409"/>
    <x v="0"/>
  </r>
  <r>
    <x v="14"/>
    <x v="226"/>
    <x v="410"/>
    <x v="0"/>
  </r>
  <r>
    <x v="28"/>
    <x v="286"/>
    <x v="411"/>
    <x v="1"/>
  </r>
  <r>
    <x v="2"/>
    <x v="295"/>
    <x v="412"/>
    <x v="1"/>
  </r>
  <r>
    <x v="2"/>
    <x v="296"/>
    <x v="413"/>
    <x v="1"/>
  </r>
  <r>
    <x v="36"/>
    <x v="297"/>
    <x v="414"/>
    <x v="1"/>
  </r>
  <r>
    <x v="14"/>
    <x v="298"/>
    <x v="415"/>
    <x v="1"/>
  </r>
  <r>
    <x v="19"/>
    <x v="249"/>
    <x v="415"/>
    <x v="0"/>
  </r>
  <r>
    <x v="21"/>
    <x v="109"/>
    <x v="416"/>
    <x v="0"/>
  </r>
  <r>
    <x v="43"/>
    <x v="299"/>
    <x v="417"/>
    <x v="0"/>
  </r>
  <r>
    <x v="10"/>
    <x v="300"/>
    <x v="418"/>
    <x v="1"/>
  </r>
  <r>
    <x v="14"/>
    <x v="301"/>
    <x v="419"/>
    <x v="0"/>
  </r>
  <r>
    <x v="34"/>
    <x v="287"/>
    <x v="420"/>
    <x v="1"/>
  </r>
  <r>
    <x v="60"/>
    <x v="139"/>
    <x v="421"/>
    <x v="0"/>
  </r>
  <r>
    <x v="46"/>
    <x v="5"/>
    <x v="422"/>
    <x v="0"/>
  </r>
  <r>
    <x v="51"/>
    <x v="302"/>
    <x v="423"/>
    <x v="1"/>
  </r>
  <r>
    <x v="34"/>
    <x v="106"/>
    <x v="424"/>
    <x v="1"/>
  </r>
  <r>
    <x v="28"/>
    <x v="303"/>
    <x v="425"/>
    <x v="1"/>
  </r>
  <r>
    <x v="32"/>
    <x v="304"/>
    <x v="426"/>
    <x v="0"/>
  </r>
  <r>
    <x v="27"/>
    <x v="305"/>
    <x v="427"/>
    <x v="1"/>
  </r>
  <r>
    <x v="22"/>
    <x v="170"/>
    <x v="427"/>
    <x v="0"/>
  </r>
  <r>
    <x v="6"/>
    <x v="145"/>
    <x v="428"/>
    <x v="1"/>
  </r>
  <r>
    <x v="34"/>
    <x v="112"/>
    <x v="429"/>
    <x v="1"/>
  </r>
  <r>
    <x v="31"/>
    <x v="306"/>
    <x v="430"/>
    <x v="0"/>
  </r>
  <r>
    <x v="58"/>
    <x v="307"/>
    <x v="431"/>
    <x v="1"/>
  </r>
  <r>
    <x v="10"/>
    <x v="308"/>
    <x v="432"/>
    <x v="0"/>
  </r>
  <r>
    <x v="9"/>
    <x v="307"/>
    <x v="433"/>
    <x v="1"/>
  </r>
  <r>
    <x v="4"/>
    <x v="309"/>
    <x v="434"/>
    <x v="0"/>
  </r>
  <r>
    <x v="11"/>
    <x v="310"/>
    <x v="435"/>
    <x v="1"/>
  </r>
  <r>
    <x v="28"/>
    <x v="311"/>
    <x v="436"/>
    <x v="1"/>
  </r>
  <r>
    <x v="7"/>
    <x v="312"/>
    <x v="437"/>
    <x v="0"/>
  </r>
  <r>
    <x v="27"/>
    <x v="237"/>
    <x v="438"/>
    <x v="1"/>
  </r>
  <r>
    <x v="20"/>
    <x v="313"/>
    <x v="439"/>
    <x v="1"/>
  </r>
  <r>
    <x v="29"/>
    <x v="314"/>
    <x v="440"/>
    <x v="0"/>
  </r>
  <r>
    <x v="17"/>
    <x v="315"/>
    <x v="441"/>
    <x v="1"/>
  </r>
  <r>
    <x v="16"/>
    <x v="259"/>
    <x v="442"/>
    <x v="1"/>
  </r>
  <r>
    <x v="14"/>
    <x v="316"/>
    <x v="443"/>
    <x v="0"/>
  </r>
  <r>
    <x v="4"/>
    <x v="317"/>
    <x v="444"/>
    <x v="0"/>
  </r>
  <r>
    <x v="5"/>
    <x v="318"/>
    <x v="445"/>
    <x v="1"/>
  </r>
  <r>
    <x v="11"/>
    <x v="38"/>
    <x v="446"/>
    <x v="0"/>
  </r>
  <r>
    <x v="7"/>
    <x v="319"/>
    <x v="447"/>
    <x v="0"/>
  </r>
  <r>
    <x v="36"/>
    <x v="198"/>
    <x v="448"/>
    <x v="0"/>
  </r>
  <r>
    <x v="45"/>
    <x v="320"/>
    <x v="449"/>
    <x v="0"/>
  </r>
  <r>
    <x v="53"/>
    <x v="169"/>
    <x v="450"/>
    <x v="0"/>
  </r>
  <r>
    <x v="22"/>
    <x v="321"/>
    <x v="451"/>
    <x v="1"/>
  </r>
  <r>
    <x v="34"/>
    <x v="322"/>
    <x v="451"/>
    <x v="0"/>
  </r>
  <r>
    <x v="9"/>
    <x v="302"/>
    <x v="452"/>
    <x v="0"/>
  </r>
  <r>
    <x v="51"/>
    <x v="323"/>
    <x v="453"/>
    <x v="1"/>
  </r>
  <r>
    <x v="34"/>
    <x v="324"/>
    <x v="454"/>
    <x v="0"/>
  </r>
  <r>
    <x v="1"/>
    <x v="152"/>
    <x v="455"/>
    <x v="0"/>
  </r>
  <r>
    <x v="0"/>
    <x v="325"/>
    <x v="456"/>
    <x v="0"/>
  </r>
  <r>
    <x v="32"/>
    <x v="249"/>
    <x v="457"/>
    <x v="1"/>
  </r>
  <r>
    <x v="38"/>
    <x v="82"/>
    <x v="457"/>
    <x v="0"/>
  </r>
  <r>
    <x v="2"/>
    <x v="326"/>
    <x v="458"/>
    <x v="0"/>
  </r>
  <r>
    <x v="55"/>
    <x v="327"/>
    <x v="459"/>
    <x v="1"/>
  </r>
  <r>
    <x v="17"/>
    <x v="328"/>
    <x v="460"/>
    <x v="1"/>
  </r>
  <r>
    <x v="13"/>
    <x v="329"/>
    <x v="461"/>
    <x v="1"/>
  </r>
  <r>
    <x v="21"/>
    <x v="330"/>
    <x v="462"/>
    <x v="1"/>
  </r>
  <r>
    <x v="11"/>
    <x v="303"/>
    <x v="463"/>
    <x v="1"/>
  </r>
  <r>
    <x v="29"/>
    <x v="331"/>
    <x v="463"/>
    <x v="0"/>
  </r>
  <r>
    <x v="9"/>
    <x v="222"/>
    <x v="464"/>
    <x v="1"/>
  </r>
  <r>
    <x v="62"/>
    <x v="230"/>
    <x v="465"/>
    <x v="1"/>
  </r>
  <r>
    <x v="31"/>
    <x v="332"/>
    <x v="466"/>
    <x v="1"/>
  </r>
  <r>
    <x v="43"/>
    <x v="333"/>
    <x v="467"/>
    <x v="1"/>
  </r>
  <r>
    <x v="7"/>
    <x v="334"/>
    <x v="468"/>
    <x v="0"/>
  </r>
  <r>
    <x v="20"/>
    <x v="237"/>
    <x v="469"/>
    <x v="1"/>
  </r>
  <r>
    <x v="35"/>
    <x v="335"/>
    <x v="470"/>
    <x v="0"/>
  </r>
  <r>
    <x v="34"/>
    <x v="310"/>
    <x v="471"/>
    <x v="1"/>
  </r>
  <r>
    <x v="21"/>
    <x v="252"/>
    <x v="472"/>
    <x v="1"/>
  </r>
  <r>
    <x v="12"/>
    <x v="336"/>
    <x v="473"/>
    <x v="1"/>
  </r>
  <r>
    <x v="20"/>
    <x v="141"/>
    <x v="474"/>
    <x v="0"/>
  </r>
  <r>
    <x v="8"/>
    <x v="337"/>
    <x v="475"/>
    <x v="1"/>
  </r>
  <r>
    <x v="14"/>
    <x v="338"/>
    <x v="476"/>
    <x v="0"/>
  </r>
  <r>
    <x v="36"/>
    <x v="279"/>
    <x v="477"/>
    <x v="0"/>
  </r>
  <r>
    <x v="7"/>
    <x v="304"/>
    <x v="478"/>
    <x v="0"/>
  </r>
  <r>
    <x v="3"/>
    <x v="339"/>
    <x v="479"/>
    <x v="1"/>
  </r>
  <r>
    <x v="55"/>
    <x v="177"/>
    <x v="480"/>
    <x v="0"/>
  </r>
  <r>
    <x v="13"/>
    <x v="340"/>
    <x v="481"/>
    <x v="1"/>
  </r>
  <r>
    <x v="27"/>
    <x v="341"/>
    <x v="482"/>
    <x v="1"/>
  </r>
  <r>
    <x v="46"/>
    <x v="310"/>
    <x v="483"/>
    <x v="1"/>
  </r>
  <r>
    <x v="14"/>
    <x v="156"/>
    <x v="484"/>
    <x v="0"/>
  </r>
  <r>
    <x v="8"/>
    <x v="342"/>
    <x v="485"/>
    <x v="1"/>
  </r>
  <r>
    <x v="39"/>
    <x v="343"/>
    <x v="486"/>
    <x v="0"/>
  </r>
  <r>
    <x v="8"/>
    <x v="131"/>
    <x v="487"/>
    <x v="0"/>
  </r>
  <r>
    <x v="47"/>
    <x v="344"/>
    <x v="488"/>
    <x v="1"/>
  </r>
  <r>
    <x v="10"/>
    <x v="345"/>
    <x v="489"/>
    <x v="1"/>
  </r>
  <r>
    <x v="28"/>
    <x v="346"/>
    <x v="490"/>
    <x v="1"/>
  </r>
  <r>
    <x v="56"/>
    <x v="273"/>
    <x v="491"/>
    <x v="1"/>
  </r>
  <r>
    <x v="29"/>
    <x v="203"/>
    <x v="492"/>
    <x v="1"/>
  </r>
  <r>
    <x v="20"/>
    <x v="347"/>
    <x v="493"/>
    <x v="1"/>
  </r>
  <r>
    <x v="30"/>
    <x v="72"/>
    <x v="493"/>
    <x v="1"/>
  </r>
  <r>
    <x v="44"/>
    <x v="348"/>
    <x v="494"/>
    <x v="0"/>
  </r>
  <r>
    <x v="39"/>
    <x v="157"/>
    <x v="495"/>
    <x v="0"/>
  </r>
  <r>
    <x v="36"/>
    <x v="349"/>
    <x v="496"/>
    <x v="0"/>
  </r>
  <r>
    <x v="40"/>
    <x v="184"/>
    <x v="497"/>
    <x v="0"/>
  </r>
  <r>
    <x v="1"/>
    <x v="350"/>
    <x v="498"/>
    <x v="0"/>
  </r>
  <r>
    <x v="30"/>
    <x v="351"/>
    <x v="499"/>
    <x v="0"/>
  </r>
  <r>
    <x v="0"/>
    <x v="352"/>
    <x v="500"/>
    <x v="0"/>
  </r>
  <r>
    <x v="58"/>
    <x v="353"/>
    <x v="501"/>
    <x v="1"/>
  </r>
  <r>
    <x v="14"/>
    <x v="354"/>
    <x v="502"/>
    <x v="1"/>
  </r>
  <r>
    <x v="11"/>
    <x v="355"/>
    <x v="503"/>
    <x v="0"/>
  </r>
  <r>
    <x v="36"/>
    <x v="356"/>
    <x v="504"/>
    <x v="0"/>
  </r>
  <r>
    <x v="7"/>
    <x v="357"/>
    <x v="505"/>
    <x v="0"/>
  </r>
  <r>
    <x v="29"/>
    <x v="72"/>
    <x v="506"/>
    <x v="0"/>
  </r>
  <r>
    <x v="16"/>
    <x v="352"/>
    <x v="507"/>
    <x v="0"/>
  </r>
  <r>
    <x v="35"/>
    <x v="358"/>
    <x v="508"/>
    <x v="0"/>
  </r>
  <r>
    <x v="63"/>
    <x v="66"/>
    <x v="509"/>
    <x v="1"/>
  </r>
  <r>
    <x v="58"/>
    <x v="276"/>
    <x v="510"/>
    <x v="0"/>
  </r>
  <r>
    <x v="38"/>
    <x v="55"/>
    <x v="511"/>
    <x v="0"/>
  </r>
  <r>
    <x v="29"/>
    <x v="359"/>
    <x v="512"/>
    <x v="1"/>
  </r>
  <r>
    <x v="14"/>
    <x v="163"/>
    <x v="512"/>
    <x v="1"/>
  </r>
  <r>
    <x v="21"/>
    <x v="45"/>
    <x v="512"/>
    <x v="0"/>
  </r>
  <r>
    <x v="56"/>
    <x v="360"/>
    <x v="513"/>
    <x v="1"/>
  </r>
  <r>
    <x v="58"/>
    <x v="361"/>
    <x v="514"/>
    <x v="1"/>
  </r>
  <r>
    <x v="46"/>
    <x v="196"/>
    <x v="515"/>
    <x v="0"/>
  </r>
  <r>
    <x v="27"/>
    <x v="362"/>
    <x v="516"/>
    <x v="0"/>
  </r>
  <r>
    <x v="38"/>
    <x v="351"/>
    <x v="517"/>
    <x v="0"/>
  </r>
  <r>
    <x v="12"/>
    <x v="363"/>
    <x v="518"/>
    <x v="0"/>
  </r>
  <r>
    <x v="35"/>
    <x v="350"/>
    <x v="519"/>
    <x v="1"/>
  </r>
  <r>
    <x v="14"/>
    <x v="334"/>
    <x v="520"/>
    <x v="1"/>
  </r>
  <r>
    <x v="15"/>
    <x v="64"/>
    <x v="521"/>
    <x v="0"/>
  </r>
  <r>
    <x v="42"/>
    <x v="364"/>
    <x v="522"/>
    <x v="1"/>
  </r>
  <r>
    <x v="45"/>
    <x v="365"/>
    <x v="523"/>
    <x v="0"/>
  </r>
  <r>
    <x v="21"/>
    <x v="160"/>
    <x v="524"/>
    <x v="0"/>
  </r>
  <r>
    <x v="21"/>
    <x v="366"/>
    <x v="525"/>
    <x v="1"/>
  </r>
  <r>
    <x v="10"/>
    <x v="367"/>
    <x v="526"/>
    <x v="0"/>
  </r>
  <r>
    <x v="37"/>
    <x v="368"/>
    <x v="527"/>
    <x v="1"/>
  </r>
  <r>
    <x v="27"/>
    <x v="369"/>
    <x v="528"/>
    <x v="1"/>
  </r>
  <r>
    <x v="30"/>
    <x v="290"/>
    <x v="529"/>
    <x v="0"/>
  </r>
  <r>
    <x v="64"/>
    <x v="370"/>
    <x v="530"/>
    <x v="1"/>
  </r>
  <r>
    <x v="49"/>
    <x v="371"/>
    <x v="531"/>
    <x v="0"/>
  </r>
  <r>
    <x v="14"/>
    <x v="372"/>
    <x v="532"/>
    <x v="0"/>
  </r>
  <r>
    <x v="22"/>
    <x v="373"/>
    <x v="533"/>
    <x v="1"/>
  </r>
  <r>
    <x v="8"/>
    <x v="374"/>
    <x v="534"/>
    <x v="0"/>
  </r>
  <r>
    <x v="17"/>
    <x v="293"/>
    <x v="535"/>
    <x v="0"/>
  </r>
  <r>
    <x v="22"/>
    <x v="375"/>
    <x v="536"/>
    <x v="1"/>
  </r>
  <r>
    <x v="54"/>
    <x v="369"/>
    <x v="537"/>
    <x v="1"/>
  </r>
  <r>
    <x v="2"/>
    <x v="249"/>
    <x v="538"/>
    <x v="0"/>
  </r>
  <r>
    <x v="58"/>
    <x v="376"/>
    <x v="539"/>
    <x v="0"/>
  </r>
  <r>
    <x v="32"/>
    <x v="377"/>
    <x v="540"/>
    <x v="0"/>
  </r>
  <r>
    <x v="7"/>
    <x v="370"/>
    <x v="541"/>
    <x v="0"/>
  </r>
  <r>
    <x v="55"/>
    <x v="337"/>
    <x v="542"/>
    <x v="1"/>
  </r>
  <r>
    <x v="44"/>
    <x v="366"/>
    <x v="543"/>
    <x v="0"/>
  </r>
  <r>
    <x v="36"/>
    <x v="243"/>
    <x v="544"/>
    <x v="1"/>
  </r>
  <r>
    <x v="19"/>
    <x v="378"/>
    <x v="545"/>
    <x v="0"/>
  </r>
  <r>
    <x v="30"/>
    <x v="286"/>
    <x v="546"/>
    <x v="0"/>
  </r>
  <r>
    <x v="37"/>
    <x v="379"/>
    <x v="547"/>
    <x v="0"/>
  </r>
  <r>
    <x v="60"/>
    <x v="380"/>
    <x v="548"/>
    <x v="0"/>
  </r>
  <r>
    <x v="55"/>
    <x v="381"/>
    <x v="549"/>
    <x v="0"/>
  </r>
  <r>
    <x v="48"/>
    <x v="276"/>
    <x v="550"/>
    <x v="0"/>
  </r>
  <r>
    <x v="8"/>
    <x v="382"/>
    <x v="551"/>
    <x v="0"/>
  </r>
  <r>
    <x v="8"/>
    <x v="383"/>
    <x v="552"/>
    <x v="0"/>
  </r>
  <r>
    <x v="22"/>
    <x v="373"/>
    <x v="553"/>
    <x v="0"/>
  </r>
  <r>
    <x v="5"/>
    <x v="305"/>
    <x v="554"/>
    <x v="1"/>
  </r>
  <r>
    <x v="1"/>
    <x v="380"/>
    <x v="555"/>
    <x v="1"/>
  </r>
  <r>
    <x v="3"/>
    <x v="221"/>
    <x v="556"/>
    <x v="0"/>
  </r>
  <r>
    <x v="44"/>
    <x v="384"/>
    <x v="557"/>
    <x v="0"/>
  </r>
  <r>
    <x v="3"/>
    <x v="127"/>
    <x v="558"/>
    <x v="0"/>
  </r>
  <r>
    <x v="40"/>
    <x v="58"/>
    <x v="559"/>
    <x v="0"/>
  </r>
  <r>
    <x v="13"/>
    <x v="385"/>
    <x v="560"/>
    <x v="0"/>
  </r>
  <r>
    <x v="23"/>
    <x v="351"/>
    <x v="561"/>
    <x v="0"/>
  </r>
  <r>
    <x v="28"/>
    <x v="244"/>
    <x v="562"/>
    <x v="0"/>
  </r>
  <r>
    <x v="40"/>
    <x v="386"/>
    <x v="563"/>
    <x v="0"/>
  </r>
  <r>
    <x v="32"/>
    <x v="387"/>
    <x v="564"/>
    <x v="0"/>
  </r>
  <r>
    <x v="43"/>
    <x v="388"/>
    <x v="565"/>
    <x v="0"/>
  </r>
  <r>
    <x v="7"/>
    <x v="389"/>
    <x v="566"/>
    <x v="0"/>
  </r>
  <r>
    <x v="34"/>
    <x v="125"/>
    <x v="567"/>
    <x v="0"/>
  </r>
  <r>
    <x v="8"/>
    <x v="102"/>
    <x v="568"/>
    <x v="1"/>
  </r>
  <r>
    <x v="12"/>
    <x v="390"/>
    <x v="569"/>
    <x v="0"/>
  </r>
  <r>
    <x v="4"/>
    <x v="391"/>
    <x v="570"/>
    <x v="0"/>
  </r>
  <r>
    <x v="13"/>
    <x v="205"/>
    <x v="571"/>
    <x v="0"/>
  </r>
  <r>
    <x v="32"/>
    <x v="295"/>
    <x v="572"/>
    <x v="0"/>
  </r>
  <r>
    <x v="27"/>
    <x v="140"/>
    <x v="573"/>
    <x v="1"/>
  </r>
  <r>
    <x v="19"/>
    <x v="351"/>
    <x v="574"/>
    <x v="0"/>
  </r>
  <r>
    <x v="29"/>
    <x v="392"/>
    <x v="575"/>
    <x v="0"/>
  </r>
  <r>
    <x v="22"/>
    <x v="393"/>
    <x v="576"/>
    <x v="0"/>
  </r>
  <r>
    <x v="32"/>
    <x v="394"/>
    <x v="577"/>
    <x v="0"/>
  </r>
  <r>
    <x v="26"/>
    <x v="395"/>
    <x v="578"/>
    <x v="0"/>
  </r>
  <r>
    <x v="7"/>
    <x v="360"/>
    <x v="579"/>
    <x v="0"/>
  </r>
  <r>
    <x v="55"/>
    <x v="182"/>
    <x v="580"/>
    <x v="0"/>
  </r>
  <r>
    <x v="42"/>
    <x v="361"/>
    <x v="581"/>
    <x v="1"/>
  </r>
  <r>
    <x v="43"/>
    <x v="319"/>
    <x v="582"/>
    <x v="0"/>
  </r>
  <r>
    <x v="34"/>
    <x v="390"/>
    <x v="583"/>
    <x v="0"/>
  </r>
  <r>
    <x v="10"/>
    <x v="396"/>
    <x v="584"/>
    <x v="1"/>
  </r>
  <r>
    <x v="12"/>
    <x v="247"/>
    <x v="585"/>
    <x v="0"/>
  </r>
  <r>
    <x v="0"/>
    <x v="397"/>
    <x v="586"/>
    <x v="0"/>
  </r>
  <r>
    <x v="48"/>
    <x v="246"/>
    <x v="587"/>
    <x v="0"/>
  </r>
  <r>
    <x v="42"/>
    <x v="316"/>
    <x v="588"/>
    <x v="0"/>
  </r>
  <r>
    <x v="36"/>
    <x v="398"/>
    <x v="589"/>
    <x v="0"/>
  </r>
  <r>
    <x v="35"/>
    <x v="110"/>
    <x v="590"/>
    <x v="1"/>
  </r>
  <r>
    <x v="35"/>
    <x v="392"/>
    <x v="591"/>
    <x v="0"/>
  </r>
  <r>
    <x v="8"/>
    <x v="318"/>
    <x v="592"/>
    <x v="0"/>
  </r>
  <r>
    <x v="10"/>
    <x v="227"/>
    <x v="593"/>
    <x v="1"/>
  </r>
  <r>
    <x v="21"/>
    <x v="399"/>
    <x v="594"/>
    <x v="0"/>
  </r>
  <r>
    <x v="41"/>
    <x v="400"/>
    <x v="595"/>
    <x v="0"/>
  </r>
  <r>
    <x v="40"/>
    <x v="299"/>
    <x v="596"/>
    <x v="0"/>
  </r>
  <r>
    <x v="14"/>
    <x v="50"/>
    <x v="597"/>
    <x v="1"/>
  </r>
  <r>
    <x v="32"/>
    <x v="336"/>
    <x v="598"/>
    <x v="0"/>
  </r>
  <r>
    <x v="10"/>
    <x v="401"/>
    <x v="599"/>
    <x v="1"/>
  </r>
  <r>
    <x v="46"/>
    <x v="132"/>
    <x v="600"/>
    <x v="1"/>
  </r>
  <r>
    <x v="46"/>
    <x v="394"/>
    <x v="601"/>
    <x v="0"/>
  </r>
  <r>
    <x v="60"/>
    <x v="346"/>
    <x v="602"/>
    <x v="0"/>
  </r>
  <r>
    <x v="46"/>
    <x v="402"/>
    <x v="603"/>
    <x v="0"/>
  </r>
  <r>
    <x v="24"/>
    <x v="125"/>
    <x v="604"/>
    <x v="1"/>
  </r>
  <r>
    <x v="31"/>
    <x v="199"/>
    <x v="605"/>
    <x v="0"/>
  </r>
  <r>
    <x v="26"/>
    <x v="139"/>
    <x v="606"/>
    <x v="0"/>
  </r>
  <r>
    <x v="32"/>
    <x v="304"/>
    <x v="607"/>
    <x v="0"/>
  </r>
  <r>
    <x v="39"/>
    <x v="386"/>
    <x v="608"/>
    <x v="0"/>
  </r>
  <r>
    <x v="65"/>
    <x v="403"/>
    <x v="609"/>
    <x v="0"/>
  </r>
  <r>
    <x v="37"/>
    <x v="386"/>
    <x v="610"/>
    <x v="0"/>
  </r>
  <r>
    <x v="34"/>
    <x v="355"/>
    <x v="611"/>
    <x v="0"/>
  </r>
  <r>
    <x v="29"/>
    <x v="117"/>
    <x v="612"/>
    <x v="0"/>
  </r>
  <r>
    <x v="13"/>
    <x v="380"/>
    <x v="613"/>
    <x v="0"/>
  </r>
  <r>
    <x v="51"/>
    <x v="291"/>
    <x v="614"/>
    <x v="0"/>
  </r>
  <r>
    <x v="53"/>
    <x v="246"/>
    <x v="615"/>
    <x v="0"/>
  </r>
  <r>
    <x v="45"/>
    <x v="404"/>
    <x v="616"/>
    <x v="0"/>
  </r>
  <r>
    <x v="4"/>
    <x v="405"/>
    <x v="617"/>
    <x v="0"/>
  </r>
  <r>
    <x v="36"/>
    <x v="323"/>
    <x v="618"/>
    <x v="1"/>
  </r>
  <r>
    <x v="27"/>
    <x v="359"/>
    <x v="619"/>
    <x v="1"/>
  </r>
  <r>
    <x v="46"/>
    <x v="237"/>
    <x v="620"/>
    <x v="0"/>
  </r>
  <r>
    <x v="36"/>
    <x v="204"/>
    <x v="621"/>
    <x v="0"/>
  </r>
  <r>
    <x v="45"/>
    <x v="385"/>
    <x v="622"/>
    <x v="0"/>
  </r>
  <r>
    <x v="7"/>
    <x v="169"/>
    <x v="623"/>
    <x v="0"/>
  </r>
  <r>
    <x v="28"/>
    <x v="392"/>
    <x v="624"/>
    <x v="0"/>
  </r>
  <r>
    <x v="7"/>
    <x v="246"/>
    <x v="625"/>
    <x v="0"/>
  </r>
  <r>
    <x v="58"/>
    <x v="246"/>
    <x v="626"/>
    <x v="0"/>
  </r>
  <r>
    <x v="26"/>
    <x v="406"/>
    <x v="627"/>
    <x v="0"/>
  </r>
  <r>
    <x v="41"/>
    <x v="407"/>
    <x v="628"/>
    <x v="0"/>
  </r>
  <r>
    <x v="44"/>
    <x v="290"/>
    <x v="629"/>
    <x v="0"/>
  </r>
  <r>
    <x v="29"/>
    <x v="388"/>
    <x v="630"/>
    <x v="0"/>
  </r>
  <r>
    <x v="45"/>
    <x v="299"/>
    <x v="631"/>
    <x v="0"/>
  </r>
  <r>
    <x v="27"/>
    <x v="218"/>
    <x v="632"/>
    <x v="0"/>
  </r>
  <r>
    <x v="48"/>
    <x v="279"/>
    <x v="633"/>
    <x v="0"/>
  </r>
  <r>
    <x v="1"/>
    <x v="352"/>
    <x v="634"/>
    <x v="0"/>
  </r>
  <r>
    <x v="49"/>
    <x v="307"/>
    <x v="635"/>
    <x v="1"/>
  </r>
  <r>
    <x v="28"/>
    <x v="274"/>
    <x v="636"/>
    <x v="0"/>
  </r>
  <r>
    <x v="0"/>
    <x v="408"/>
    <x v="637"/>
    <x v="1"/>
  </r>
  <r>
    <x v="0"/>
    <x v="409"/>
    <x v="63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DC204-AFAC-4B7E-A3E8-81E4C7CBD436}" name="Tableau croisé dynamique8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W5:Y16" firstHeaderRow="0" firstDataRow="1" firstDataCol="1" rowPageCount="1" colPageCount="1"/>
  <pivotFields count="5">
    <pivotField axis="axisRow" showAll="0">
      <items count="11">
        <item x="8"/>
        <item x="4"/>
        <item x="9"/>
        <item x="0"/>
        <item x="1"/>
        <item x="2"/>
        <item x="6"/>
        <item x="5"/>
        <item x="3"/>
        <item x="7"/>
        <item t="default"/>
      </items>
    </pivotField>
    <pivotField dataField="1" numFmtId="44" showAll="0"/>
    <pivotField dataField="1" numFmtId="44" showAll="0">
      <items count="11">
        <item x="6"/>
        <item x="7"/>
        <item x="5"/>
        <item x="2"/>
        <item x="3"/>
        <item x="9"/>
        <item x="4"/>
        <item x="8"/>
        <item x="0"/>
        <item x="1"/>
        <item t="default"/>
      </items>
    </pivotField>
    <pivotField axis="axisPage" numFmtId="44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me de nourriture" fld="2" baseField="0" baseItem="0" numFmtId="44"/>
    <dataField name="Somme de bien de conso." fld="1" baseField="0" baseItem="0" numFmtId="44"/>
  </dataFields>
  <chartFormats count="6">
    <chartFormat chart="2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3028A-7879-4359-B4A6-727FCF80BB62}" name="Tableau croisé dynamique6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ID Client">
  <location ref="T3:U6" firstHeaderRow="1" firstDataRow="1" firstDataCol="1" rowPageCount="1" colPageCount="1"/>
  <pivotFields count="5">
    <pivotField axis="axisPage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2" showAll="0"/>
    <pivotField dataField="1" numFmtId="44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omme de Montant" fld="2" baseField="0" baseItem="0" numFmtId="44"/>
  </dataFields>
  <chartFormats count="8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58182-9F0D-469B-8589-7E3FBAAD915A}" name="Tableau croisé dynamique4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ID Client">
  <location ref="J1:M69" firstHeaderRow="1" firstDataRow="2" firstDataCol="1"/>
  <pivotFields count="5">
    <pivotField axis="axisRow" showAll="0" sortType="descending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44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dragToRow="0" dragToCol="0" dragToPage="0" showAll="0" defaultSubtotal="0"/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4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A4343-77E3-429A-B630-0C2A1C0D3668}" name="Tableau croisé dynamique6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>
  <location ref="A4:G73" firstHeaderRow="1" firstDataRow="3" firstDataCol="1"/>
  <pivotFields count="5">
    <pivotField axis="axisRow" dataField="1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2" showAll="0">
      <items count="411">
        <item x="386"/>
        <item x="374"/>
        <item x="406"/>
        <item x="182"/>
        <item x="399"/>
        <item x="392"/>
        <item x="355"/>
        <item x="290"/>
        <item x="319"/>
        <item x="371"/>
        <item x="352"/>
        <item x="402"/>
        <item x="407"/>
        <item x="218"/>
        <item x="394"/>
        <item x="247"/>
        <item x="409"/>
        <item x="351"/>
        <item x="291"/>
        <item x="316"/>
        <item x="388"/>
        <item x="304"/>
        <item x="299"/>
        <item x="246"/>
        <item x="167"/>
        <item x="346"/>
        <item x="294"/>
        <item x="321"/>
        <item x="404"/>
        <item x="84"/>
        <item x="382"/>
        <item x="377"/>
        <item x="401"/>
        <item x="380"/>
        <item x="237"/>
        <item x="369"/>
        <item x="408"/>
        <item x="343"/>
        <item x="283"/>
        <item x="252"/>
        <item x="349"/>
        <item x="354"/>
        <item x="287"/>
        <item x="391"/>
        <item x="360"/>
        <item x="305"/>
        <item x="403"/>
        <item x="347"/>
        <item x="385"/>
        <item x="125"/>
        <item x="390"/>
        <item x="375"/>
        <item x="206"/>
        <item x="333"/>
        <item x="359"/>
        <item x="345"/>
        <item x="327"/>
        <item x="334"/>
        <item x="344"/>
        <item x="362"/>
        <item x="199"/>
        <item x="293"/>
        <item x="396"/>
        <item x="373"/>
        <item x="253"/>
        <item x="307"/>
        <item x="230"/>
        <item x="342"/>
        <item x="298"/>
        <item x="251"/>
        <item x="348"/>
        <item x="129"/>
        <item x="398"/>
        <item x="367"/>
        <item x="337"/>
        <item x="240"/>
        <item x="277"/>
        <item x="222"/>
        <item x="372"/>
        <item x="203"/>
        <item x="127"/>
        <item x="357"/>
        <item x="361"/>
        <item x="141"/>
        <item x="27"/>
        <item x="249"/>
        <item x="214"/>
        <item x="328"/>
        <item x="286"/>
        <item x="245"/>
        <item x="366"/>
        <item x="37"/>
        <item x="318"/>
        <item x="364"/>
        <item x="358"/>
        <item x="339"/>
        <item x="329"/>
        <item x="397"/>
        <item x="288"/>
        <item x="164"/>
        <item x="350"/>
        <item x="188"/>
        <item x="303"/>
        <item x="340"/>
        <item x="341"/>
        <item x="384"/>
        <item x="368"/>
        <item x="326"/>
        <item x="282"/>
        <item x="323"/>
        <item x="310"/>
        <item x="389"/>
        <item x="163"/>
        <item x="233"/>
        <item x="353"/>
        <item x="139"/>
        <item x="174"/>
        <item x="82"/>
        <item x="296"/>
        <item x="332"/>
        <item x="204"/>
        <item x="259"/>
        <item x="112"/>
        <item x="324"/>
        <item x="313"/>
        <item x="154"/>
        <item x="116"/>
        <item x="381"/>
        <item x="330"/>
        <item x="63"/>
        <item x="184"/>
        <item x="258"/>
        <item x="365"/>
        <item x="400"/>
        <item x="109"/>
        <item x="254"/>
        <item x="217"/>
        <item x="261"/>
        <item x="279"/>
        <item x="21"/>
        <item x="75"/>
        <item x="312"/>
        <item x="256"/>
        <item x="96"/>
        <item x="338"/>
        <item x="189"/>
        <item x="183"/>
        <item x="268"/>
        <item x="202"/>
        <item x="311"/>
        <item x="314"/>
        <item x="157"/>
        <item x="266"/>
        <item x="395"/>
        <item x="200"/>
        <item x="295"/>
        <item x="276"/>
        <item x="272"/>
        <item x="244"/>
        <item x="108"/>
        <item x="232"/>
        <item x="405"/>
        <item x="146"/>
        <item x="302"/>
        <item x="262"/>
        <item x="179"/>
        <item x="213"/>
        <item x="336"/>
        <item x="271"/>
        <item x="30"/>
        <item x="241"/>
        <item x="170"/>
        <item x="383"/>
        <item x="212"/>
        <item x="131"/>
        <item x="186"/>
        <item x="238"/>
        <item x="300"/>
        <item x="123"/>
        <item x="207"/>
        <item x="285"/>
        <item x="102"/>
        <item x="187"/>
        <item x="219"/>
        <item x="267"/>
        <item x="306"/>
        <item x="140"/>
        <item x="192"/>
        <item x="322"/>
        <item x="160"/>
        <item x="208"/>
        <item x="177"/>
        <item x="99"/>
        <item x="98"/>
        <item x="243"/>
        <item x="147"/>
        <item x="228"/>
        <item x="166"/>
        <item x="264"/>
        <item x="85"/>
        <item x="223"/>
        <item x="137"/>
        <item x="128"/>
        <item x="301"/>
        <item x="155"/>
        <item x="70"/>
        <item x="62"/>
        <item x="198"/>
        <item x="248"/>
        <item x="255"/>
        <item x="376"/>
        <item x="315"/>
        <item x="64"/>
        <item x="38"/>
        <item x="270"/>
        <item x="53"/>
        <item x="117"/>
        <item x="317"/>
        <item x="67"/>
        <item x="227"/>
        <item x="45"/>
        <item x="205"/>
        <item x="220"/>
        <item x="379"/>
        <item x="17"/>
        <item x="226"/>
        <item x="76"/>
        <item x="257"/>
        <item x="93"/>
        <item x="169"/>
        <item x="132"/>
        <item x="65"/>
        <item x="281"/>
        <item x="221"/>
        <item x="263"/>
        <item x="309"/>
        <item x="211"/>
        <item x="136"/>
        <item x="40"/>
        <item x="144"/>
        <item x="273"/>
        <item x="79"/>
        <item x="145"/>
        <item x="168"/>
        <item x="250"/>
        <item x="165"/>
        <item x="90"/>
        <item x="236"/>
        <item x="180"/>
        <item x="393"/>
        <item x="134"/>
        <item x="275"/>
        <item x="378"/>
        <item x="387"/>
        <item x="156"/>
        <item x="210"/>
        <item x="269"/>
        <item x="176"/>
        <item x="196"/>
        <item x="194"/>
        <item x="231"/>
        <item x="71"/>
        <item x="13"/>
        <item x="193"/>
        <item x="225"/>
        <item x="103"/>
        <item x="8"/>
        <item x="22"/>
        <item x="56"/>
        <item x="118"/>
        <item x="89"/>
        <item x="58"/>
        <item x="138"/>
        <item x="201"/>
        <item x="39"/>
        <item x="114"/>
        <item x="94"/>
        <item x="122"/>
        <item x="331"/>
        <item x="5"/>
        <item x="209"/>
        <item x="162"/>
        <item x="363"/>
        <item x="19"/>
        <item x="50"/>
        <item x="274"/>
        <item x="60"/>
        <item x="173"/>
        <item x="171"/>
        <item x="224"/>
        <item x="190"/>
        <item x="66"/>
        <item x="370"/>
        <item x="15"/>
        <item x="72"/>
        <item x="284"/>
        <item x="159"/>
        <item x="172"/>
        <item x="197"/>
        <item x="46"/>
        <item x="55"/>
        <item x="150"/>
        <item x="191"/>
        <item x="142"/>
        <item x="161"/>
        <item x="80"/>
        <item x="59"/>
        <item x="229"/>
        <item x="44"/>
        <item x="4"/>
        <item x="130"/>
        <item x="195"/>
        <item x="265"/>
        <item x="148"/>
        <item x="68"/>
        <item x="325"/>
        <item x="119"/>
        <item x="2"/>
        <item x="308"/>
        <item x="101"/>
        <item x="278"/>
        <item x="152"/>
        <item x="239"/>
        <item x="235"/>
        <item x="107"/>
        <item x="121"/>
        <item x="57"/>
        <item x="110"/>
        <item x="178"/>
        <item x="175"/>
        <item x="289"/>
        <item x="105"/>
        <item x="242"/>
        <item x="143"/>
        <item x="151"/>
        <item x="126"/>
        <item x="81"/>
        <item x="77"/>
        <item x="32"/>
        <item x="43"/>
        <item x="83"/>
        <item x="87"/>
        <item x="124"/>
        <item x="104"/>
        <item x="111"/>
        <item x="73"/>
        <item x="26"/>
        <item x="49"/>
        <item x="133"/>
        <item x="234"/>
        <item x="47"/>
        <item x="135"/>
        <item x="92"/>
        <item x="320"/>
        <item x="149"/>
        <item x="185"/>
        <item x="97"/>
        <item x="115"/>
        <item x="158"/>
        <item x="100"/>
        <item x="36"/>
        <item x="280"/>
        <item x="215"/>
        <item x="35"/>
        <item x="0"/>
        <item x="20"/>
        <item x="31"/>
        <item x="54"/>
        <item x="297"/>
        <item x="88"/>
        <item x="9"/>
        <item x="11"/>
        <item x="356"/>
        <item x="153"/>
        <item x="74"/>
        <item x="292"/>
        <item x="113"/>
        <item x="95"/>
        <item x="86"/>
        <item x="91"/>
        <item x="106"/>
        <item x="78"/>
        <item x="41"/>
        <item x="25"/>
        <item x="61"/>
        <item x="335"/>
        <item x="52"/>
        <item x="16"/>
        <item x="69"/>
        <item x="23"/>
        <item x="120"/>
        <item x="216"/>
        <item x="18"/>
        <item x="24"/>
        <item x="260"/>
        <item x="3"/>
        <item x="29"/>
        <item x="34"/>
        <item x="12"/>
        <item x="6"/>
        <item x="28"/>
        <item x="33"/>
        <item x="48"/>
        <item x="14"/>
        <item x="10"/>
        <item x="7"/>
        <item x="1"/>
        <item x="51"/>
        <item x="42"/>
        <item x="181"/>
        <item t="default"/>
      </items>
    </pivotField>
    <pivotField dataField="1" numFmtId="44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sd="0" x="1"/>
        <item sd="0" x="0"/>
        <item t="default"/>
      </items>
    </pivotField>
    <pivotField dragToRow="0" dragToCol="0" dragToPage="0" showAll="0" defaultSubtota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Nombre d'achats" fld="0" subtotal="count" baseField="0" baseItem="0"/>
    <dataField name="Somme de Montant" fld="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E1F09-46B8-4028-B9E0-3C92BAAF28C0}" name="Tableau croisé dynamique7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A3:C187" firstHeaderRow="0" firstDataRow="1" firstDataCol="1"/>
  <pivotFields count="5">
    <pivotField axis="axisRow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dataField="1" numFmtId="2" showAll="0">
      <items count="411">
        <item x="386"/>
        <item x="374"/>
        <item x="406"/>
        <item x="182"/>
        <item x="399"/>
        <item x="392"/>
        <item x="355"/>
        <item x="290"/>
        <item x="319"/>
        <item x="371"/>
        <item x="352"/>
        <item x="402"/>
        <item x="407"/>
        <item x="218"/>
        <item x="394"/>
        <item x="247"/>
        <item x="409"/>
        <item x="351"/>
        <item x="291"/>
        <item x="316"/>
        <item x="388"/>
        <item x="304"/>
        <item x="299"/>
        <item x="246"/>
        <item x="167"/>
        <item x="346"/>
        <item x="294"/>
        <item x="321"/>
        <item x="404"/>
        <item x="84"/>
        <item x="382"/>
        <item x="377"/>
        <item x="401"/>
        <item x="380"/>
        <item x="237"/>
        <item x="369"/>
        <item x="408"/>
        <item x="343"/>
        <item x="283"/>
        <item x="252"/>
        <item x="349"/>
        <item x="354"/>
        <item x="287"/>
        <item x="391"/>
        <item x="360"/>
        <item x="305"/>
        <item x="403"/>
        <item x="347"/>
        <item x="385"/>
        <item x="125"/>
        <item x="390"/>
        <item x="375"/>
        <item x="206"/>
        <item x="333"/>
        <item x="359"/>
        <item x="345"/>
        <item x="327"/>
        <item x="334"/>
        <item x="344"/>
        <item x="362"/>
        <item x="199"/>
        <item x="293"/>
        <item x="396"/>
        <item x="373"/>
        <item x="253"/>
        <item x="307"/>
        <item x="230"/>
        <item x="342"/>
        <item x="298"/>
        <item x="251"/>
        <item x="348"/>
        <item x="129"/>
        <item x="398"/>
        <item x="367"/>
        <item x="337"/>
        <item x="240"/>
        <item x="277"/>
        <item x="222"/>
        <item x="372"/>
        <item x="203"/>
        <item x="127"/>
        <item x="357"/>
        <item x="361"/>
        <item x="141"/>
        <item x="27"/>
        <item x="249"/>
        <item x="214"/>
        <item x="328"/>
        <item x="286"/>
        <item x="245"/>
        <item x="366"/>
        <item x="37"/>
        <item x="318"/>
        <item x="364"/>
        <item x="358"/>
        <item x="339"/>
        <item x="329"/>
        <item x="397"/>
        <item x="288"/>
        <item x="164"/>
        <item x="350"/>
        <item x="188"/>
        <item x="303"/>
        <item x="340"/>
        <item x="341"/>
        <item x="384"/>
        <item x="368"/>
        <item x="326"/>
        <item x="282"/>
        <item x="323"/>
        <item x="310"/>
        <item x="389"/>
        <item x="163"/>
        <item x="233"/>
        <item x="353"/>
        <item x="139"/>
        <item x="174"/>
        <item x="82"/>
        <item x="296"/>
        <item x="332"/>
        <item x="204"/>
        <item x="259"/>
        <item x="112"/>
        <item x="324"/>
        <item x="313"/>
        <item x="154"/>
        <item x="116"/>
        <item x="381"/>
        <item x="330"/>
        <item x="63"/>
        <item x="184"/>
        <item x="258"/>
        <item x="365"/>
        <item x="400"/>
        <item x="109"/>
        <item x="254"/>
        <item x="217"/>
        <item x="261"/>
        <item x="279"/>
        <item x="21"/>
        <item x="75"/>
        <item x="312"/>
        <item x="256"/>
        <item x="96"/>
        <item x="338"/>
        <item x="189"/>
        <item x="183"/>
        <item x="268"/>
        <item x="202"/>
        <item x="311"/>
        <item x="314"/>
        <item x="157"/>
        <item x="266"/>
        <item x="395"/>
        <item x="200"/>
        <item x="295"/>
        <item x="276"/>
        <item x="272"/>
        <item x="244"/>
        <item x="108"/>
        <item x="232"/>
        <item x="405"/>
        <item x="146"/>
        <item x="302"/>
        <item x="262"/>
        <item x="179"/>
        <item x="213"/>
        <item x="336"/>
        <item x="271"/>
        <item x="30"/>
        <item x="241"/>
        <item x="170"/>
        <item x="383"/>
        <item x="212"/>
        <item x="131"/>
        <item x="186"/>
        <item x="238"/>
        <item x="300"/>
        <item x="123"/>
        <item x="207"/>
        <item x="285"/>
        <item x="102"/>
        <item x="187"/>
        <item x="219"/>
        <item x="267"/>
        <item x="306"/>
        <item x="140"/>
        <item x="192"/>
        <item x="322"/>
        <item x="160"/>
        <item x="208"/>
        <item x="177"/>
        <item x="99"/>
        <item x="98"/>
        <item x="243"/>
        <item x="147"/>
        <item x="228"/>
        <item x="166"/>
        <item x="264"/>
        <item x="85"/>
        <item x="223"/>
        <item x="137"/>
        <item x="128"/>
        <item x="301"/>
        <item x="155"/>
        <item x="70"/>
        <item x="62"/>
        <item x="198"/>
        <item x="248"/>
        <item x="255"/>
        <item x="376"/>
        <item x="315"/>
        <item x="64"/>
        <item x="38"/>
        <item x="270"/>
        <item x="53"/>
        <item x="117"/>
        <item x="317"/>
        <item x="67"/>
        <item x="227"/>
        <item x="45"/>
        <item x="205"/>
        <item x="220"/>
        <item x="379"/>
        <item x="17"/>
        <item x="226"/>
        <item x="76"/>
        <item x="257"/>
        <item x="93"/>
        <item x="169"/>
        <item x="132"/>
        <item x="65"/>
        <item x="281"/>
        <item x="221"/>
        <item x="263"/>
        <item x="309"/>
        <item x="211"/>
        <item x="136"/>
        <item x="40"/>
        <item x="144"/>
        <item x="273"/>
        <item x="79"/>
        <item x="145"/>
        <item x="168"/>
        <item x="250"/>
        <item x="165"/>
        <item x="90"/>
        <item x="236"/>
        <item x="180"/>
        <item x="393"/>
        <item x="134"/>
        <item x="275"/>
        <item x="378"/>
        <item x="387"/>
        <item x="156"/>
        <item x="210"/>
        <item x="269"/>
        <item x="176"/>
        <item x="196"/>
        <item x="194"/>
        <item x="231"/>
        <item x="71"/>
        <item x="13"/>
        <item x="193"/>
        <item x="225"/>
        <item x="103"/>
        <item x="8"/>
        <item x="22"/>
        <item x="56"/>
        <item x="118"/>
        <item x="89"/>
        <item x="58"/>
        <item x="138"/>
        <item x="201"/>
        <item x="39"/>
        <item x="114"/>
        <item x="94"/>
        <item x="122"/>
        <item x="331"/>
        <item x="5"/>
        <item x="209"/>
        <item x="162"/>
        <item x="363"/>
        <item x="19"/>
        <item x="50"/>
        <item x="274"/>
        <item x="60"/>
        <item x="173"/>
        <item x="171"/>
        <item x="224"/>
        <item x="190"/>
        <item x="66"/>
        <item x="370"/>
        <item x="15"/>
        <item x="72"/>
        <item x="284"/>
        <item x="159"/>
        <item x="172"/>
        <item x="197"/>
        <item x="46"/>
        <item x="55"/>
        <item x="150"/>
        <item x="191"/>
        <item x="142"/>
        <item x="161"/>
        <item x="80"/>
        <item x="59"/>
        <item x="229"/>
        <item x="44"/>
        <item x="4"/>
        <item x="130"/>
        <item x="195"/>
        <item x="265"/>
        <item x="148"/>
        <item x="68"/>
        <item x="325"/>
        <item x="119"/>
        <item x="2"/>
        <item x="308"/>
        <item x="101"/>
        <item x="278"/>
        <item x="152"/>
        <item x="239"/>
        <item x="235"/>
        <item x="107"/>
        <item x="121"/>
        <item x="57"/>
        <item x="110"/>
        <item x="178"/>
        <item x="175"/>
        <item x="289"/>
        <item x="105"/>
        <item x="242"/>
        <item x="143"/>
        <item x="151"/>
        <item x="126"/>
        <item x="81"/>
        <item x="77"/>
        <item x="32"/>
        <item x="43"/>
        <item x="83"/>
        <item x="87"/>
        <item x="124"/>
        <item x="104"/>
        <item x="111"/>
        <item x="73"/>
        <item x="26"/>
        <item x="49"/>
        <item x="133"/>
        <item x="234"/>
        <item x="47"/>
        <item x="135"/>
        <item x="92"/>
        <item x="320"/>
        <item x="149"/>
        <item x="185"/>
        <item x="97"/>
        <item x="115"/>
        <item x="158"/>
        <item x="100"/>
        <item x="36"/>
        <item x="280"/>
        <item x="215"/>
        <item x="35"/>
        <item x="0"/>
        <item x="20"/>
        <item x="31"/>
        <item x="54"/>
        <item x="297"/>
        <item x="88"/>
        <item x="9"/>
        <item x="11"/>
        <item x="356"/>
        <item x="153"/>
        <item x="74"/>
        <item x="292"/>
        <item x="113"/>
        <item x="95"/>
        <item x="86"/>
        <item x="91"/>
        <item x="106"/>
        <item x="78"/>
        <item x="41"/>
        <item x="25"/>
        <item x="61"/>
        <item x="335"/>
        <item x="52"/>
        <item x="16"/>
        <item x="69"/>
        <item x="23"/>
        <item x="120"/>
        <item x="216"/>
        <item x="18"/>
        <item x="24"/>
        <item x="260"/>
        <item x="3"/>
        <item x="29"/>
        <item x="34"/>
        <item x="12"/>
        <item x="6"/>
        <item x="28"/>
        <item x="33"/>
        <item x="48"/>
        <item x="14"/>
        <item x="10"/>
        <item x="7"/>
        <item x="1"/>
        <item x="51"/>
        <item x="42"/>
        <item x="181"/>
        <item t="default"/>
      </items>
    </pivotField>
    <pivotField dataField="1" numFmtId="44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ragToRow="0" dragToCol="0" dragToPage="0" showAll="0" defaultSubtotal="0"/>
  </pivotFields>
  <rowFields count="2">
    <field x="0"/>
    <field x="3"/>
  </rowFields>
  <rowItems count="18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 v="1"/>
    </i>
    <i>
      <x v="55"/>
    </i>
    <i r="1">
      <x v="1"/>
    </i>
    <i>
      <x v="56"/>
    </i>
    <i r="1">
      <x v="1"/>
    </i>
    <i>
      <x v="57"/>
    </i>
    <i r="1">
      <x/>
    </i>
    <i>
      <x v="58"/>
    </i>
    <i r="1">
      <x/>
    </i>
    <i>
      <x v="59"/>
    </i>
    <i r="1">
      <x/>
    </i>
    <i>
      <x v="60"/>
    </i>
    <i r="1">
      <x/>
    </i>
    <i>
      <x v="61"/>
    </i>
    <i r="1">
      <x/>
    </i>
    <i>
      <x v="62"/>
    </i>
    <i r="1">
      <x v="1"/>
    </i>
    <i>
      <x v="63"/>
    </i>
    <i r="1">
      <x/>
    </i>
    <i>
      <x v="64"/>
    </i>
    <i r="1">
      <x v="1"/>
    </i>
    <i>
      <x v="65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" fld="2" baseField="0" baseItem="0" numFmtId="44"/>
    <dataField name="Somme de Temps d'acha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AB0D7-2A65-43B9-8AFC-F48660A5DBAD}" name="Tableau croisé dynamique8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D14" firstHeaderRow="0" firstDataRow="1" firstDataCol="1"/>
  <pivotFields count="5">
    <pivotField axis="axisRow" showAll="0" sortType="descending">
      <items count="11">
        <item x="8"/>
        <item x="4"/>
        <item x="9"/>
        <item x="0"/>
        <item x="1"/>
        <item x="2"/>
        <item x="6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>
      <items count="11">
        <item x="8"/>
        <item x="9"/>
        <item x="1"/>
        <item x="4"/>
        <item x="5"/>
        <item x="3"/>
        <item x="7"/>
        <item x="6"/>
        <item x="2"/>
        <item x="0"/>
        <item t="default"/>
      </items>
    </pivotField>
    <pivotField dataField="1" numFmtId="44" showAll="0">
      <items count="11">
        <item x="6"/>
        <item x="7"/>
        <item x="5"/>
        <item x="2"/>
        <item x="3"/>
        <item x="9"/>
        <item x="4"/>
        <item x="8"/>
        <item x="0"/>
        <item x="1"/>
        <item t="default"/>
      </items>
    </pivotField>
    <pivotField dataField="1" numFmtId="44" showAll="0"/>
    <pivotField dragToRow="0" dragToCol="0" dragToPage="0" showAll="0" defaultSubtotal="0"/>
  </pivotFields>
  <rowFields count="1">
    <field x="0"/>
  </rowFields>
  <rowItems count="11">
    <i>
      <x v="3"/>
    </i>
    <i>
      <x v="4"/>
    </i>
    <i>
      <x v="5"/>
    </i>
    <i>
      <x v="8"/>
    </i>
    <i>
      <x v="1"/>
    </i>
    <i>
      <x v="7"/>
    </i>
    <i>
      <x v="6"/>
    </i>
    <i>
      <x v="9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 général" fld="3" baseField="0" baseItem="0" numFmtId="44"/>
    <dataField name="Somme de nourriture" fld="2" baseField="0" baseItem="0" numFmtId="44"/>
    <dataField name="Somme de bien de conso." fld="1" baseField="0" baseItem="0" numFmtId="44"/>
  </dataFields>
  <chartFormats count="1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sortState xmlns:xlrd2="http://schemas.microsoft.com/office/spreadsheetml/2017/richdata2" ref="A2:D661">
    <sortCondition ref="B2:B661"/>
  </sortState>
  <tableColumns count="4">
    <tableColumn id="1" xr3:uid="{00000000-0010-0000-0000-000001000000}" name="ID client"/>
    <tableColumn id="2" xr3:uid="{00000000-0010-0000-0000-000002000000}" name="Temps d'achat" dataDxfId="6"/>
    <tableColumn id="3" xr3:uid="{00000000-0010-0000-0000-000003000000}" name="Montant" dataDxfId="5" dataCellStyle="Monétaire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8D6E2E-25A5-49F0-B8CD-8B7136175957}" name="Tableau2" displayName="Tableau2" ref="F1:H5" totalsRowShown="0" headerRowDxfId="4">
  <autoFilter ref="F1:H5" xr:uid="{D88D6E2E-25A5-49F0-B8CD-8B7136175957}"/>
  <tableColumns count="3">
    <tableColumn id="1" xr3:uid="{4D4ABAE3-2103-49CA-A145-370F05013478}" name="Colonne1" dataDxfId="3"/>
    <tableColumn id="2" xr3:uid="{AB0F3666-60D7-4C5C-B555-594AC1F75347}" name="Somme"/>
    <tableColumn id="4" xr3:uid="{DF2CC513-2C86-4BB3-8B6B-9FA0E9D33514}" name="nb cellu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/>
  </sheetPr>
  <dimension ref="A1:Z1000"/>
  <sheetViews>
    <sheetView zoomScale="70" zoomScaleNormal="70" workbookViewId="0">
      <selection activeCell="J9" sqref="J9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20.14062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5" t="s">
        <v>0</v>
      </c>
      <c r="C2" s="63"/>
      <c r="D2" s="63"/>
      <c r="E2" s="63"/>
      <c r="F2" s="63"/>
      <c r="G2" s="63"/>
      <c r="H2" s="63"/>
      <c r="I2" s="63"/>
      <c r="J2" s="6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75"/>
      <c r="C6" s="66" t="s">
        <v>1</v>
      </c>
      <c r="D6" s="68" t="s">
        <v>2</v>
      </c>
      <c r="E6" s="68" t="s">
        <v>3</v>
      </c>
      <c r="F6" s="68" t="s">
        <v>4</v>
      </c>
      <c r="G6" s="68" t="s">
        <v>5</v>
      </c>
      <c r="H6" s="70" t="s">
        <v>6</v>
      </c>
      <c r="I6" s="1"/>
      <c r="J6" s="7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Bot="1" x14ac:dyDescent="0.3">
      <c r="A7" s="1"/>
      <c r="B7" s="76"/>
      <c r="C7" s="67"/>
      <c r="D7" s="69"/>
      <c r="E7" s="69"/>
      <c r="F7" s="69"/>
      <c r="G7" s="69"/>
      <c r="H7" s="71"/>
      <c r="I7" s="1"/>
      <c r="J7" s="7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7" t="s">
        <v>8</v>
      </c>
      <c r="C8" s="31">
        <v>10543</v>
      </c>
      <c r="D8" s="32">
        <v>11458</v>
      </c>
      <c r="E8" s="32">
        <v>13520</v>
      </c>
      <c r="F8" s="33">
        <v>14023</v>
      </c>
      <c r="G8" s="34">
        <v>14983</v>
      </c>
      <c r="H8" s="23">
        <f>'DATA Février (clients affiliés)'!G4</f>
        <v>14763.899999999994</v>
      </c>
      <c r="I8" s="2"/>
      <c r="J8" s="22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28" t="s">
        <v>9</v>
      </c>
      <c r="C9" s="35">
        <v>13855</v>
      </c>
      <c r="D9" s="3">
        <v>16052</v>
      </c>
      <c r="E9" s="3">
        <v>16797</v>
      </c>
      <c r="F9" s="16">
        <v>17582</v>
      </c>
      <c r="G9" s="26">
        <v>18216</v>
      </c>
      <c r="H9" s="40">
        <f>'DATA Février (clients affiliés)'!G5</f>
        <v>24898.819999999985</v>
      </c>
      <c r="I9" s="2"/>
      <c r="J9" s="22">
        <f>SUM(C9:H9)</f>
        <v>107400.81999999998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29" t="s">
        <v>10</v>
      </c>
      <c r="C10" s="36">
        <v>3002</v>
      </c>
      <c r="D10" s="37">
        <v>3769</v>
      </c>
      <c r="E10" s="37">
        <v>4230</v>
      </c>
      <c r="F10" s="38">
        <v>4341</v>
      </c>
      <c r="G10" s="39">
        <v>2713</v>
      </c>
      <c r="H10" s="24">
        <v>0</v>
      </c>
      <c r="I10" s="2"/>
      <c r="J10" s="42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4" t="s">
        <v>11</v>
      </c>
      <c r="C11" s="30">
        <v>27400</v>
      </c>
      <c r="D11" s="25">
        <v>31279</v>
      </c>
      <c r="E11" s="25">
        <v>34547</v>
      </c>
      <c r="F11" s="25">
        <v>35946</v>
      </c>
      <c r="G11" s="25">
        <v>35912</v>
      </c>
      <c r="H11" s="17">
        <f>SUM(H8:H9)</f>
        <v>39662.719999999979</v>
      </c>
      <c r="I11" s="5"/>
      <c r="J11" s="41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1"/>
      <c r="B14" s="45" t="s">
        <v>12</v>
      </c>
      <c r="C14" s="49" t="s">
        <v>13</v>
      </c>
      <c r="D14" s="46" t="s">
        <v>14</v>
      </c>
      <c r="E14" s="1"/>
      <c r="F14" s="1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Bot="1" x14ac:dyDescent="0.3">
      <c r="A15" s="1"/>
      <c r="B15" s="43" t="s">
        <v>15</v>
      </c>
      <c r="C15" s="54">
        <f>'DATA Février (clients affiliés)'!H2</f>
        <v>47</v>
      </c>
      <c r="D15" s="47">
        <f>'DATA Février (clients affiliés)'!G2</f>
        <v>1562.7299999999996</v>
      </c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thickBot="1" x14ac:dyDescent="0.3">
      <c r="A16" s="1"/>
      <c r="B16" s="44" t="s">
        <v>16</v>
      </c>
      <c r="C16" s="55">
        <f>'DATA Février (clients affiliés)'!H3</f>
        <v>91</v>
      </c>
      <c r="D16" s="48">
        <f>'DATA Février (clients affiliés)'!G3</f>
        <v>7577.3199999999988</v>
      </c>
      <c r="E16" s="1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thickBot="1" x14ac:dyDescent="0.3">
      <c r="A20" s="1"/>
      <c r="B20" s="74" t="s">
        <v>17</v>
      </c>
      <c r="C20" s="63"/>
      <c r="D20" s="63"/>
      <c r="E20" s="63"/>
      <c r="F20" s="63"/>
      <c r="G20" s="63"/>
      <c r="H20" s="63"/>
      <c r="I20" s="63"/>
      <c r="J20" s="6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7"/>
      <c r="C21" s="1"/>
      <c r="D21" s="1"/>
      <c r="E21" s="1"/>
      <c r="F21" s="1"/>
      <c r="G21" s="1"/>
      <c r="H21" s="1"/>
      <c r="I21" s="1"/>
      <c r="J21" s="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7"/>
      <c r="C22" s="1"/>
      <c r="D22" s="1"/>
      <c r="E22" s="1"/>
      <c r="F22" s="1"/>
      <c r="G22" s="1"/>
      <c r="H22" s="1"/>
      <c r="I22" s="1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7"/>
      <c r="C23" s="1"/>
      <c r="D23" s="1"/>
      <c r="E23" s="1"/>
      <c r="F23" s="1"/>
      <c r="G23" s="1"/>
      <c r="H23" s="1"/>
      <c r="I23" s="1"/>
      <c r="J23" s="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7"/>
      <c r="C24" s="1"/>
      <c r="D24" s="1"/>
      <c r="E24" s="1"/>
      <c r="F24" s="1"/>
      <c r="G24" s="1"/>
      <c r="H24" s="1"/>
      <c r="I24" s="1"/>
      <c r="J24" s="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7"/>
      <c r="C25" s="1"/>
      <c r="D25" s="1"/>
      <c r="E25" s="1"/>
      <c r="F25" s="1"/>
      <c r="G25" s="1"/>
      <c r="H25" s="1"/>
      <c r="I25" s="1"/>
      <c r="J25" s="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7"/>
      <c r="C26" s="1"/>
      <c r="D26" s="1"/>
      <c r="E26" s="1"/>
      <c r="F26" s="1"/>
      <c r="G26" s="1"/>
      <c r="H26" s="1"/>
      <c r="I26" s="1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7"/>
      <c r="C27" s="1"/>
      <c r="D27" s="1"/>
      <c r="E27" s="1"/>
      <c r="F27" s="1"/>
      <c r="G27" s="1"/>
      <c r="H27" s="1"/>
      <c r="I27" s="1"/>
      <c r="J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7"/>
      <c r="C28" s="1"/>
      <c r="D28" s="1"/>
      <c r="E28" s="1"/>
      <c r="F28" s="1"/>
      <c r="G28" s="1"/>
      <c r="H28" s="1"/>
      <c r="I28" s="1"/>
      <c r="J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7"/>
      <c r="C29" s="1"/>
      <c r="D29" s="1"/>
      <c r="E29" s="1"/>
      <c r="F29" s="1"/>
      <c r="G29" s="1"/>
      <c r="H29" s="1"/>
      <c r="I29" s="1"/>
      <c r="J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7"/>
      <c r="C30" s="1"/>
      <c r="D30" s="1"/>
      <c r="E30" s="1"/>
      <c r="F30" s="1"/>
      <c r="G30" s="1"/>
      <c r="H30" s="1"/>
      <c r="I30" s="1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7"/>
      <c r="C31" s="1"/>
      <c r="D31" s="1"/>
      <c r="E31" s="1"/>
      <c r="F31" s="1"/>
      <c r="G31" s="1"/>
      <c r="H31" s="1"/>
      <c r="I31" s="1"/>
      <c r="J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7"/>
      <c r="C32" s="1"/>
      <c r="D32" s="1"/>
      <c r="E32" s="1"/>
      <c r="F32" s="1"/>
      <c r="G32" s="1"/>
      <c r="H32" s="1"/>
      <c r="I32" s="1"/>
      <c r="J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7"/>
      <c r="C33" s="1"/>
      <c r="D33" s="1"/>
      <c r="E33" s="1"/>
      <c r="F33" s="1"/>
      <c r="G33" s="1"/>
      <c r="H33" s="1"/>
      <c r="I33" s="1"/>
      <c r="J33" s="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7"/>
      <c r="C34" s="1"/>
      <c r="D34" s="1"/>
      <c r="E34" s="1"/>
      <c r="F34" s="1"/>
      <c r="G34" s="1"/>
      <c r="H34" s="1"/>
      <c r="I34" s="1"/>
      <c r="J34" s="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7"/>
      <c r="C35" s="1"/>
      <c r="D35" s="1"/>
      <c r="E35" s="1"/>
      <c r="F35" s="1"/>
      <c r="G35" s="1"/>
      <c r="H35" s="1"/>
      <c r="I35" s="1"/>
      <c r="J35" s="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7"/>
      <c r="C36" s="1"/>
      <c r="D36" s="1"/>
      <c r="E36" s="1"/>
      <c r="F36" s="1"/>
      <c r="G36" s="1"/>
      <c r="H36" s="1"/>
      <c r="I36" s="1"/>
      <c r="J36" s="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7"/>
      <c r="C37" s="1"/>
      <c r="D37" s="1"/>
      <c r="E37" s="1"/>
      <c r="F37" s="1"/>
      <c r="G37" s="1"/>
      <c r="H37" s="1"/>
      <c r="I37" s="1"/>
      <c r="J37" s="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7"/>
      <c r="C38" s="1"/>
      <c r="D38" s="1"/>
      <c r="E38" s="1"/>
      <c r="F38" s="1"/>
      <c r="G38" s="1"/>
      <c r="H38" s="1"/>
      <c r="I38" s="1"/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7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7"/>
      <c r="C40" s="1"/>
      <c r="D40" s="1"/>
      <c r="E40" s="1"/>
      <c r="F40" s="1"/>
      <c r="G40" s="1"/>
      <c r="H40" s="1"/>
      <c r="I40" s="1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7"/>
      <c r="C41" s="1"/>
      <c r="D41" s="1"/>
      <c r="E41" s="1"/>
      <c r="F41" s="1"/>
      <c r="G41" s="1"/>
      <c r="H41" s="1"/>
      <c r="I41" s="1"/>
      <c r="J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7"/>
      <c r="C42" s="1"/>
      <c r="D42" s="1"/>
      <c r="E42" s="1"/>
      <c r="F42" s="1"/>
      <c r="G42" s="1"/>
      <c r="H42" s="1"/>
      <c r="I42" s="1"/>
      <c r="J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9"/>
      <c r="C43" s="10"/>
      <c r="D43" s="10"/>
      <c r="E43" s="10"/>
      <c r="F43" s="10"/>
      <c r="G43" s="10"/>
      <c r="H43" s="10"/>
      <c r="I43" s="10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2" t="s">
        <v>18</v>
      </c>
      <c r="C45" s="63"/>
      <c r="D45" s="63"/>
      <c r="E45" s="63"/>
      <c r="F45" s="63"/>
      <c r="G45" s="63"/>
      <c r="H45" s="63"/>
      <c r="I45" s="63"/>
      <c r="J45" s="6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7"/>
      <c r="C46" s="1"/>
      <c r="D46" s="1"/>
      <c r="E46" s="1"/>
      <c r="F46" s="1"/>
      <c r="G46" s="1"/>
      <c r="H46" s="1"/>
      <c r="I46" s="1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7"/>
      <c r="C47" s="1"/>
      <c r="D47" s="1"/>
      <c r="E47" s="1"/>
      <c r="F47" s="1"/>
      <c r="G47" s="1"/>
      <c r="H47" s="1"/>
      <c r="I47" s="1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7"/>
      <c r="C48" s="1"/>
      <c r="D48" s="1"/>
      <c r="E48" s="1"/>
      <c r="F48" s="1"/>
      <c r="G48" s="1"/>
      <c r="H48" s="1"/>
      <c r="I48" s="1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7"/>
      <c r="C49" s="1"/>
      <c r="D49" s="1"/>
      <c r="E49" s="1"/>
      <c r="F49" s="1"/>
      <c r="G49" s="1"/>
      <c r="H49" s="1"/>
      <c r="I49" s="1"/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7"/>
      <c r="C50" s="1"/>
      <c r="D50" s="1"/>
      <c r="E50" s="1"/>
      <c r="F50" s="1"/>
      <c r="G50" s="1"/>
      <c r="H50" s="1"/>
      <c r="I50" s="1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7"/>
      <c r="C51" s="1"/>
      <c r="D51" s="1"/>
      <c r="E51" s="1"/>
      <c r="F51" s="1"/>
      <c r="G51" s="1"/>
      <c r="H51" s="1"/>
      <c r="I51" s="1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7"/>
      <c r="C52" s="1"/>
      <c r="D52" s="1"/>
      <c r="E52" s="1"/>
      <c r="F52" s="1"/>
      <c r="G52" s="1"/>
      <c r="H52" s="1"/>
      <c r="I52" s="1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7"/>
      <c r="C53" s="1"/>
      <c r="D53" s="1"/>
      <c r="E53" s="1"/>
      <c r="F53" s="1"/>
      <c r="G53" s="1"/>
      <c r="H53" s="1"/>
      <c r="I53" s="1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7"/>
      <c r="C54" s="1"/>
      <c r="D54" s="1"/>
      <c r="E54" s="1"/>
      <c r="F54" s="1"/>
      <c r="G54" s="1"/>
      <c r="H54" s="1"/>
      <c r="I54" s="1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7"/>
      <c r="C55" s="1"/>
      <c r="D55" s="1"/>
      <c r="E55" s="1"/>
      <c r="F55" s="1"/>
      <c r="G55" s="1"/>
      <c r="H55" s="1"/>
      <c r="I55" s="1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7"/>
      <c r="C56" s="1"/>
      <c r="D56" s="1"/>
      <c r="E56" s="1"/>
      <c r="F56" s="1"/>
      <c r="G56" s="1"/>
      <c r="H56" s="1"/>
      <c r="I56" s="1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7"/>
      <c r="C57" s="1"/>
      <c r="D57" s="1"/>
      <c r="E57" s="1"/>
      <c r="F57" s="1"/>
      <c r="G57" s="1"/>
      <c r="H57" s="1"/>
      <c r="I57" s="1"/>
      <c r="J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7"/>
      <c r="C58" s="1"/>
      <c r="D58" s="1"/>
      <c r="E58" s="1"/>
      <c r="F58" s="1"/>
      <c r="G58" s="1"/>
      <c r="H58" s="1"/>
      <c r="I58" s="1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7"/>
      <c r="C59" s="1"/>
      <c r="D59" s="1"/>
      <c r="E59" s="1"/>
      <c r="F59" s="1"/>
      <c r="G59" s="1"/>
      <c r="H59" s="1"/>
      <c r="I59" s="1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7"/>
      <c r="C60" s="1"/>
      <c r="D60" s="1"/>
      <c r="E60" s="1"/>
      <c r="F60" s="1"/>
      <c r="G60" s="1"/>
      <c r="H60" s="1"/>
      <c r="I60" s="1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7"/>
      <c r="C61" s="1"/>
      <c r="D61" s="1"/>
      <c r="E61" s="1"/>
      <c r="F61" s="1"/>
      <c r="G61" s="1"/>
      <c r="H61" s="1"/>
      <c r="I61" s="1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7"/>
      <c r="C62" s="1"/>
      <c r="D62" s="1"/>
      <c r="E62" s="1"/>
      <c r="F62" s="1"/>
      <c r="G62" s="1"/>
      <c r="H62" s="1"/>
      <c r="I62" s="1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7"/>
      <c r="C63" s="1"/>
      <c r="D63" s="1"/>
      <c r="E63" s="1"/>
      <c r="F63" s="1"/>
      <c r="G63" s="1"/>
      <c r="H63" s="1"/>
      <c r="I63" s="1"/>
      <c r="J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7"/>
      <c r="C64" s="1"/>
      <c r="D64" s="1"/>
      <c r="E64" s="1"/>
      <c r="F64" s="1"/>
      <c r="G64" s="1"/>
      <c r="H64" s="1"/>
      <c r="I64" s="1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7"/>
      <c r="C65" s="1"/>
      <c r="D65" s="1"/>
      <c r="E65" s="1"/>
      <c r="F65" s="1"/>
      <c r="G65" s="1"/>
      <c r="H65" s="1"/>
      <c r="I65" s="1"/>
      <c r="J65" s="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7"/>
      <c r="C66" s="1"/>
      <c r="D66" s="1"/>
      <c r="E66" s="1"/>
      <c r="F66" s="1"/>
      <c r="G66" s="1"/>
      <c r="H66" s="1"/>
      <c r="I66" s="1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7"/>
      <c r="C67" s="1"/>
      <c r="D67" s="1"/>
      <c r="E67" s="1"/>
      <c r="F67" s="1"/>
      <c r="G67" s="1"/>
      <c r="H67" s="1"/>
      <c r="I67" s="1"/>
      <c r="J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9"/>
      <c r="C68" s="10"/>
      <c r="D68" s="10"/>
      <c r="E68" s="10"/>
      <c r="F68" s="10"/>
      <c r="G68" s="10"/>
      <c r="H68" s="10"/>
      <c r="I68" s="10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2" t="s">
        <v>19</v>
      </c>
      <c r="C70" s="63"/>
      <c r="D70" s="63"/>
      <c r="E70" s="63"/>
      <c r="F70" s="63"/>
      <c r="G70" s="63"/>
      <c r="H70" s="63"/>
      <c r="I70" s="63"/>
      <c r="J70" s="6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7"/>
      <c r="C71" s="1"/>
      <c r="D71" s="1"/>
      <c r="E71" s="1"/>
      <c r="F71" s="1"/>
      <c r="G71" s="1"/>
      <c r="H71" s="1"/>
      <c r="I71" s="1"/>
      <c r="J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7"/>
      <c r="C72" s="1"/>
      <c r="D72" s="1"/>
      <c r="E72" s="1"/>
      <c r="F72" s="1"/>
      <c r="G72" s="1"/>
      <c r="H72" s="1"/>
      <c r="I72" s="1"/>
      <c r="J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7"/>
      <c r="C73" s="1"/>
      <c r="D73" s="1"/>
      <c r="E73" s="1"/>
      <c r="F73" s="1"/>
      <c r="G73" s="1"/>
      <c r="H73" s="1"/>
      <c r="I73" s="1"/>
      <c r="J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7"/>
      <c r="C74" s="1"/>
      <c r="D74" s="1"/>
      <c r="E74" s="1"/>
      <c r="F74" s="1"/>
      <c r="G74" s="1"/>
      <c r="H74" s="1"/>
      <c r="I74" s="1"/>
      <c r="J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7"/>
      <c r="C75" s="1"/>
      <c r="D75" s="1"/>
      <c r="E75" s="1"/>
      <c r="F75" s="1"/>
      <c r="G75" s="1"/>
      <c r="H75" s="1"/>
      <c r="I75" s="1"/>
      <c r="J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7"/>
      <c r="C76" s="1"/>
      <c r="D76" s="1"/>
      <c r="E76" s="1"/>
      <c r="F76" s="1"/>
      <c r="G76" s="1"/>
      <c r="H76" s="1"/>
      <c r="I76" s="1"/>
      <c r="J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6" ht="15.75" customHeight="1" x14ac:dyDescent="0.25">
      <c r="A77" s="1"/>
      <c r="B77" s="7"/>
      <c r="C77" s="1"/>
      <c r="D77" s="1"/>
      <c r="E77" s="1"/>
      <c r="F77" s="1"/>
      <c r="G77" s="1"/>
      <c r="H77" s="1"/>
      <c r="I77" s="1"/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6" ht="15.75" customHeight="1" x14ac:dyDescent="0.25">
      <c r="A78" s="1"/>
      <c r="B78" s="7"/>
      <c r="C78" s="1"/>
      <c r="D78" s="1"/>
      <c r="E78" s="1"/>
      <c r="F78" s="1"/>
      <c r="G78" s="1"/>
      <c r="H78" s="1"/>
      <c r="I78" s="1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6" ht="15.75" customHeight="1" x14ac:dyDescent="0.25">
      <c r="A79" s="1"/>
      <c r="B79" s="7"/>
      <c r="C79" s="1"/>
      <c r="D79" s="1"/>
      <c r="E79" s="1"/>
      <c r="F79" s="1"/>
      <c r="G79" s="1"/>
      <c r="H79" s="1"/>
      <c r="I79" s="1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6" ht="15.75" customHeight="1" x14ac:dyDescent="0.25">
      <c r="A80" s="1"/>
      <c r="B80" s="7"/>
      <c r="C80" s="1"/>
      <c r="D80" s="1"/>
      <c r="E80" s="1"/>
      <c r="F80" s="1"/>
      <c r="G80" s="1"/>
      <c r="H80" s="1"/>
      <c r="I80" s="1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6" ht="15.75" customHeight="1" x14ac:dyDescent="0.25">
      <c r="A81" s="1"/>
      <c r="B81" s="7"/>
      <c r="C81" s="1"/>
      <c r="D81" s="1"/>
      <c r="E81" s="1"/>
      <c r="F81" s="1"/>
      <c r="G81" s="1"/>
      <c r="H81" s="1"/>
      <c r="I81" s="1"/>
      <c r="J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6" ht="15.75" customHeight="1" x14ac:dyDescent="0.25">
      <c r="A82" s="1"/>
      <c r="B82" s="7"/>
      <c r="C82" s="1"/>
      <c r="D82" s="1"/>
      <c r="E82" s="1"/>
      <c r="F82" s="1"/>
      <c r="G82" s="1"/>
      <c r="H82" s="1"/>
      <c r="I82" s="1"/>
      <c r="J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6" ht="15.75" customHeight="1" x14ac:dyDescent="0.25">
      <c r="A83" s="1"/>
      <c r="B83" s="7"/>
      <c r="C83" s="1"/>
      <c r="D83" s="1"/>
      <c r="E83" s="1"/>
      <c r="F83" s="1"/>
      <c r="G83" s="1"/>
      <c r="H83" s="1"/>
      <c r="I83" s="1"/>
      <c r="J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7"/>
      <c r="C84" s="1"/>
      <c r="D84" s="1"/>
      <c r="E84" s="1"/>
      <c r="F84" s="1"/>
      <c r="G84" s="1"/>
      <c r="H84" s="1"/>
      <c r="I84" s="1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7"/>
      <c r="C85" s="1"/>
      <c r="D85" s="1"/>
      <c r="E85" s="1"/>
      <c r="F85" s="1"/>
      <c r="G85" s="1"/>
      <c r="H85" s="1"/>
      <c r="I85" s="1"/>
      <c r="J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7"/>
      <c r="C86" s="1"/>
      <c r="D86" s="1"/>
      <c r="E86" s="1"/>
      <c r="F86" s="1"/>
      <c r="G86" s="1"/>
      <c r="H86" s="1"/>
      <c r="I86" s="1"/>
      <c r="J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7"/>
      <c r="C87" s="1"/>
      <c r="D87" s="1"/>
      <c r="E87" s="1"/>
      <c r="F87" s="1"/>
      <c r="G87" s="1"/>
      <c r="H87" s="1"/>
      <c r="I87" s="1"/>
      <c r="J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7"/>
      <c r="C88" s="1"/>
      <c r="D88" s="1"/>
      <c r="E88" s="1"/>
      <c r="F88" s="1"/>
      <c r="G88" s="1"/>
      <c r="H88" s="1"/>
      <c r="I88" s="1"/>
      <c r="J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7"/>
      <c r="C89" s="1"/>
      <c r="D89" s="1"/>
      <c r="E89" s="1"/>
      <c r="F89" s="1"/>
      <c r="G89" s="1"/>
      <c r="H89" s="1"/>
      <c r="I89" s="1"/>
      <c r="J89" s="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7"/>
      <c r="C90" s="1"/>
      <c r="D90" s="1"/>
      <c r="E90" s="1"/>
      <c r="F90" s="1"/>
      <c r="G90" s="1"/>
      <c r="H90" s="1"/>
      <c r="I90" s="1"/>
      <c r="J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7"/>
      <c r="C91" s="1"/>
      <c r="D91" s="1"/>
      <c r="E91" s="1"/>
      <c r="F91" s="1"/>
      <c r="G91" s="1"/>
      <c r="H91" s="1"/>
      <c r="I91" s="1"/>
      <c r="J91" s="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7"/>
      <c r="C92" s="1"/>
      <c r="D92" s="1"/>
      <c r="E92" s="1"/>
      <c r="F92" s="1"/>
      <c r="G92" s="1"/>
      <c r="H92" s="1"/>
      <c r="I92" s="1"/>
      <c r="J92" s="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9"/>
      <c r="C93" s="10"/>
      <c r="D93" s="10"/>
      <c r="E93" s="10"/>
      <c r="F93" s="10"/>
      <c r="G93" s="10"/>
      <c r="H93" s="10"/>
      <c r="I93" s="10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2" t="s">
        <v>20</v>
      </c>
      <c r="C95" s="63"/>
      <c r="D95" s="63"/>
      <c r="E95" s="63"/>
      <c r="F95" s="63"/>
      <c r="G95" s="63"/>
      <c r="H95" s="63"/>
      <c r="I95" s="63"/>
      <c r="J95" s="6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7"/>
      <c r="C96" s="1"/>
      <c r="D96" s="1"/>
      <c r="E96" s="1"/>
      <c r="F96" s="1"/>
      <c r="G96" s="1"/>
      <c r="H96" s="1"/>
      <c r="I96" s="1"/>
      <c r="J96" s="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7"/>
      <c r="C97" s="1"/>
      <c r="D97" s="1"/>
      <c r="E97" s="1"/>
      <c r="F97" s="1"/>
      <c r="G97" s="1"/>
      <c r="H97" s="1"/>
      <c r="I97" s="1"/>
      <c r="J97" s="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7"/>
      <c r="C98" s="1"/>
      <c r="D98" s="1"/>
      <c r="E98" s="1"/>
      <c r="F98" s="1"/>
      <c r="G98" s="1"/>
      <c r="H98" s="1"/>
      <c r="I98" s="1"/>
      <c r="J98" s="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7"/>
      <c r="C99" s="1"/>
      <c r="D99" s="1"/>
      <c r="E99" s="1"/>
      <c r="F99" s="1"/>
      <c r="G99" s="1"/>
      <c r="H99" s="1"/>
      <c r="I99" s="1"/>
      <c r="J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7"/>
      <c r="C100" s="1"/>
      <c r="D100" s="1"/>
      <c r="E100" s="1"/>
      <c r="F100" s="1"/>
      <c r="G100" s="1"/>
      <c r="H100" s="1"/>
      <c r="I100" s="1"/>
      <c r="J100" s="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7"/>
      <c r="C101" s="1"/>
      <c r="D101" s="1"/>
      <c r="E101" s="1"/>
      <c r="F101" s="1"/>
      <c r="G101" s="1"/>
      <c r="H101" s="1"/>
      <c r="I101" s="1"/>
      <c r="J101" s="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7"/>
      <c r="C102" s="1"/>
      <c r="D102" s="1"/>
      <c r="E102" s="1"/>
      <c r="F102" s="1"/>
      <c r="G102" s="1"/>
      <c r="H102" s="1"/>
      <c r="I102" s="1"/>
      <c r="J102" s="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7"/>
      <c r="C103" s="1"/>
      <c r="D103" s="1"/>
      <c r="E103" s="1"/>
      <c r="F103" s="1"/>
      <c r="G103" s="1"/>
      <c r="H103" s="1"/>
      <c r="I103" s="1"/>
      <c r="J103" s="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7"/>
      <c r="C104" s="1"/>
      <c r="D104" s="1"/>
      <c r="E104" s="1"/>
      <c r="F104" s="1"/>
      <c r="G104" s="1"/>
      <c r="H104" s="1"/>
      <c r="I104" s="1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7"/>
      <c r="C105" s="1"/>
      <c r="D105" s="1"/>
      <c r="E105" s="1"/>
      <c r="F105" s="1"/>
      <c r="G105" s="1"/>
      <c r="H105" s="1"/>
      <c r="I105" s="1"/>
      <c r="J105" s="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7"/>
      <c r="C106" s="1"/>
      <c r="D106" s="1"/>
      <c r="E106" s="1"/>
      <c r="F106" s="1"/>
      <c r="G106" s="1"/>
      <c r="H106" s="1"/>
      <c r="I106" s="1"/>
      <c r="J106" s="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7"/>
      <c r="C107" s="1"/>
      <c r="D107" s="1"/>
      <c r="E107" s="1"/>
      <c r="F107" s="1"/>
      <c r="G107" s="1"/>
      <c r="H107" s="1"/>
      <c r="I107" s="1"/>
      <c r="J107" s="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7"/>
      <c r="C108" s="1"/>
      <c r="D108" s="1"/>
      <c r="E108" s="1"/>
      <c r="F108" s="1"/>
      <c r="G108" s="1"/>
      <c r="H108" s="1"/>
      <c r="I108" s="1"/>
      <c r="J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7"/>
      <c r="C109" s="1"/>
      <c r="D109" s="1"/>
      <c r="E109" s="1"/>
      <c r="F109" s="1"/>
      <c r="G109" s="1"/>
      <c r="H109" s="1"/>
      <c r="I109" s="1"/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7"/>
      <c r="C110" s="1"/>
      <c r="D110" s="1"/>
      <c r="E110" s="1"/>
      <c r="F110" s="1"/>
      <c r="G110" s="1"/>
      <c r="H110" s="1"/>
      <c r="I110" s="1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7"/>
      <c r="C111" s="1"/>
      <c r="D111" s="1"/>
      <c r="E111" s="1"/>
      <c r="F111" s="1"/>
      <c r="G111" s="1"/>
      <c r="H111" s="1"/>
      <c r="I111" s="1"/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7"/>
      <c r="C112" s="1"/>
      <c r="D112" s="1"/>
      <c r="E112" s="1"/>
      <c r="F112" s="1"/>
      <c r="G112" s="1"/>
      <c r="H112" s="1"/>
      <c r="I112" s="1"/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7"/>
      <c r="C113" s="1"/>
      <c r="D113" s="1"/>
      <c r="E113" s="1"/>
      <c r="F113" s="1"/>
      <c r="G113" s="1"/>
      <c r="H113" s="1"/>
      <c r="I113" s="1"/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7"/>
      <c r="C114" s="1"/>
      <c r="D114" s="1"/>
      <c r="E114" s="1"/>
      <c r="F114" s="1"/>
      <c r="G114" s="1"/>
      <c r="H114" s="1"/>
      <c r="I114" s="1"/>
      <c r="J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7"/>
      <c r="C115" s="1"/>
      <c r="D115" s="1"/>
      <c r="E115" s="1"/>
      <c r="F115" s="1"/>
      <c r="G115" s="1"/>
      <c r="H115" s="1"/>
      <c r="I115" s="1"/>
      <c r="J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7"/>
      <c r="C116" s="1"/>
      <c r="D116" s="1"/>
      <c r="E116" s="1"/>
      <c r="F116" s="1"/>
      <c r="G116" s="1"/>
      <c r="H116" s="1"/>
      <c r="I116" s="1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7"/>
      <c r="C117" s="1"/>
      <c r="D117" s="1"/>
      <c r="E117" s="1"/>
      <c r="F117" s="1"/>
      <c r="G117" s="1"/>
      <c r="H117" s="1"/>
      <c r="I117" s="1"/>
      <c r="J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9"/>
      <c r="C118" s="10"/>
      <c r="D118" s="10"/>
      <c r="E118" s="10"/>
      <c r="F118" s="10"/>
      <c r="G118" s="10"/>
      <c r="H118" s="10"/>
      <c r="I118" s="10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2" t="s">
        <v>21</v>
      </c>
      <c r="C120" s="63"/>
      <c r="D120" s="63"/>
      <c r="E120" s="63"/>
      <c r="F120" s="63"/>
      <c r="G120" s="63"/>
      <c r="H120" s="63"/>
      <c r="I120" s="63"/>
      <c r="J120" s="6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7"/>
      <c r="C121" s="1"/>
      <c r="D121" s="1"/>
      <c r="E121" s="1"/>
      <c r="F121" s="1"/>
      <c r="G121" s="1"/>
      <c r="H121" s="1"/>
      <c r="I121" s="1"/>
      <c r="J121" s="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7"/>
      <c r="C122" s="1"/>
      <c r="D122" s="1"/>
      <c r="E122" s="1"/>
      <c r="F122" s="1"/>
      <c r="G122" s="1"/>
      <c r="H122" s="1"/>
      <c r="I122" s="1"/>
      <c r="J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7"/>
      <c r="C123" s="1"/>
      <c r="D123" s="1"/>
      <c r="E123" s="1"/>
      <c r="F123" s="1"/>
      <c r="G123" s="1"/>
      <c r="H123" s="1"/>
      <c r="I123" s="1"/>
      <c r="J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7"/>
      <c r="C124" s="1"/>
      <c r="D124" s="1"/>
      <c r="E124" s="1"/>
      <c r="F124" s="1"/>
      <c r="G124" s="1"/>
      <c r="H124" s="1"/>
      <c r="I124" s="1"/>
      <c r="J124" s="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7"/>
      <c r="C125" s="1"/>
      <c r="D125" s="1"/>
      <c r="E125" s="1"/>
      <c r="F125" s="1"/>
      <c r="G125" s="1"/>
      <c r="H125" s="1"/>
      <c r="I125" s="1"/>
      <c r="J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7"/>
      <c r="C126" s="1"/>
      <c r="D126" s="1"/>
      <c r="E126" s="1"/>
      <c r="F126" s="1"/>
      <c r="G126" s="1"/>
      <c r="H126" s="1"/>
      <c r="I126" s="1"/>
      <c r="J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7"/>
      <c r="C127" s="1"/>
      <c r="D127" s="1"/>
      <c r="E127" s="1"/>
      <c r="F127" s="1"/>
      <c r="G127" s="1"/>
      <c r="H127" s="1"/>
      <c r="I127" s="1"/>
      <c r="J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7"/>
      <c r="C128" s="1"/>
      <c r="D128" s="1"/>
      <c r="E128" s="1"/>
      <c r="F128" s="1"/>
      <c r="G128" s="1"/>
      <c r="H128" s="1"/>
      <c r="I128" s="1"/>
      <c r="J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7"/>
      <c r="C129" s="1"/>
      <c r="D129" s="1"/>
      <c r="E129" s="1"/>
      <c r="F129" s="1"/>
      <c r="G129" s="1"/>
      <c r="H129" s="1"/>
      <c r="I129" s="1"/>
      <c r="J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7"/>
      <c r="C130" s="1"/>
      <c r="D130" s="1"/>
      <c r="E130" s="1"/>
      <c r="F130" s="1"/>
      <c r="G130" s="1"/>
      <c r="H130" s="1"/>
      <c r="I130" s="1"/>
      <c r="J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7"/>
      <c r="C131" s="1"/>
      <c r="D131" s="1"/>
      <c r="E131" s="1"/>
      <c r="F131" s="1"/>
      <c r="G131" s="1"/>
      <c r="H131" s="1"/>
      <c r="I131" s="1"/>
      <c r="J131" s="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7"/>
      <c r="C132" s="1"/>
      <c r="D132" s="1"/>
      <c r="E132" s="1"/>
      <c r="F132" s="1"/>
      <c r="G132" s="1"/>
      <c r="H132" s="1"/>
      <c r="I132" s="1"/>
      <c r="J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7"/>
      <c r="C133" s="1"/>
      <c r="D133" s="1"/>
      <c r="E133" s="1"/>
      <c r="F133" s="1"/>
      <c r="G133" s="1"/>
      <c r="H133" s="1"/>
      <c r="I133" s="1"/>
      <c r="J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7"/>
      <c r="C134" s="1"/>
      <c r="D134" s="1"/>
      <c r="E134" s="1"/>
      <c r="F134" s="1"/>
      <c r="G134" s="1"/>
      <c r="H134" s="1"/>
      <c r="I134" s="1"/>
      <c r="J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7"/>
      <c r="C135" s="1"/>
      <c r="D135" s="1"/>
      <c r="E135" s="1"/>
      <c r="F135" s="1"/>
      <c r="G135" s="1"/>
      <c r="H135" s="1"/>
      <c r="I135" s="1"/>
      <c r="J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7"/>
      <c r="C136" s="1"/>
      <c r="D136" s="1"/>
      <c r="E136" s="1"/>
      <c r="F136" s="1"/>
      <c r="G136" s="1"/>
      <c r="H136" s="1"/>
      <c r="I136" s="1"/>
      <c r="J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7"/>
      <c r="C137" s="1"/>
      <c r="D137" s="1"/>
      <c r="E137" s="1"/>
      <c r="F137" s="1"/>
      <c r="G137" s="1"/>
      <c r="H137" s="1"/>
      <c r="I137" s="1"/>
      <c r="J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7"/>
      <c r="C138" s="1"/>
      <c r="D138" s="1"/>
      <c r="E138" s="1"/>
      <c r="F138" s="1"/>
      <c r="G138" s="1"/>
      <c r="H138" s="1"/>
      <c r="I138" s="1"/>
      <c r="J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7"/>
      <c r="C139" s="1"/>
      <c r="D139" s="1"/>
      <c r="E139" s="1"/>
      <c r="F139" s="1"/>
      <c r="G139" s="1"/>
      <c r="H139" s="1"/>
      <c r="I139" s="1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7"/>
      <c r="C140" s="1"/>
      <c r="D140" s="1"/>
      <c r="E140" s="1"/>
      <c r="F140" s="1"/>
      <c r="G140" s="1"/>
      <c r="H140" s="1"/>
      <c r="I140" s="1"/>
      <c r="J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7"/>
      <c r="C141" s="1"/>
      <c r="D141" s="1"/>
      <c r="E141" s="1"/>
      <c r="F141" s="1"/>
      <c r="G141" s="1"/>
      <c r="H141" s="1"/>
      <c r="I141" s="1"/>
      <c r="J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7"/>
      <c r="C142" s="1"/>
      <c r="D142" s="1"/>
      <c r="E142" s="1"/>
      <c r="F142" s="1"/>
      <c r="G142" s="1"/>
      <c r="H142" s="1"/>
      <c r="I142" s="1"/>
      <c r="J142" s="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9"/>
      <c r="C143" s="10"/>
      <c r="D143" s="10"/>
      <c r="E143" s="10"/>
      <c r="F143" s="10"/>
      <c r="G143" s="10"/>
      <c r="H143" s="10"/>
      <c r="I143" s="10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/>
    <row r="975" spans="1:26" ht="15.75" customHeight="1" x14ac:dyDescent="0.25"/>
    <row r="976" spans="1:2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  <mergeCell ref="B6:B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5"/>
  </sheetPr>
  <dimension ref="A1:Y661"/>
  <sheetViews>
    <sheetView tabSelected="1" zoomScale="69" zoomScaleNormal="69" workbookViewId="0">
      <selection activeCell="H11" sqref="H11"/>
    </sheetView>
  </sheetViews>
  <sheetFormatPr baseColWidth="10" defaultColWidth="14.42578125" defaultRowHeight="15" customHeight="1" x14ac:dyDescent="0.25"/>
  <cols>
    <col min="1" max="1" width="13" customWidth="1"/>
    <col min="2" max="2" width="13" style="56" customWidth="1"/>
    <col min="3" max="3" width="13" style="59" customWidth="1"/>
    <col min="4" max="4" width="17.28515625" customWidth="1"/>
    <col min="5" max="5" width="15" customWidth="1"/>
    <col min="6" max="6" width="19.7109375" customWidth="1"/>
    <col min="7" max="7" width="24" customWidth="1"/>
    <col min="8" max="8" width="19.7109375" customWidth="1"/>
    <col min="9" max="9" width="8.140625" customWidth="1"/>
    <col min="10" max="10" width="23.7109375" bestFit="1" customWidth="1"/>
    <col min="11" max="11" width="31.5703125" bestFit="1" customWidth="1"/>
    <col min="12" max="13" width="16.85546875" bestFit="1" customWidth="1"/>
    <col min="20" max="20" width="16.7109375" bestFit="1" customWidth="1"/>
    <col min="21" max="21" width="23.7109375" bestFit="1" customWidth="1"/>
    <col min="22" max="22" width="7.42578125" customWidth="1"/>
    <col min="24" max="24" width="16.85546875" customWidth="1"/>
    <col min="25" max="25" width="16.42578125" customWidth="1"/>
  </cols>
  <sheetData>
    <row r="1" spans="1:25" ht="18" customHeight="1" x14ac:dyDescent="0.25">
      <c r="A1" s="14" t="s">
        <v>23</v>
      </c>
      <c r="B1" s="15" t="s">
        <v>24</v>
      </c>
      <c r="C1" s="58" t="s">
        <v>25</v>
      </c>
      <c r="D1" s="14" t="s">
        <v>26</v>
      </c>
      <c r="E1" s="14"/>
      <c r="F1" s="14" t="s">
        <v>29</v>
      </c>
      <c r="G1" s="19" t="s">
        <v>32</v>
      </c>
      <c r="H1" s="19" t="s">
        <v>27</v>
      </c>
      <c r="J1" s="50" t="s">
        <v>36</v>
      </c>
      <c r="K1" s="50" t="s">
        <v>33</v>
      </c>
      <c r="O1" s="53" t="s">
        <v>40</v>
      </c>
      <c r="P1" s="53" t="s">
        <v>8</v>
      </c>
      <c r="Q1" s="53" t="s">
        <v>9</v>
      </c>
      <c r="R1" s="53" t="s">
        <v>34</v>
      </c>
      <c r="T1" s="50" t="s">
        <v>23</v>
      </c>
      <c r="U1" t="s">
        <v>38</v>
      </c>
    </row>
    <row r="2" spans="1:25" x14ac:dyDescent="0.25">
      <c r="A2" s="14">
        <v>14</v>
      </c>
      <c r="B2" s="15">
        <v>1.5</v>
      </c>
      <c r="C2" s="58">
        <v>34.97</v>
      </c>
      <c r="D2" s="14" t="s">
        <v>9</v>
      </c>
      <c r="E2" s="20"/>
      <c r="F2" s="20" t="s">
        <v>28</v>
      </c>
      <c r="G2">
        <f>SUMIFS(C2:C661,B2:B661,"&lt;4")</f>
        <v>1562.7299999999996</v>
      </c>
      <c r="H2">
        <f>COUNTIFS(B:B,"&lt;4")</f>
        <v>47</v>
      </c>
      <c r="J2" s="50" t="s">
        <v>40</v>
      </c>
      <c r="K2" t="s">
        <v>8</v>
      </c>
      <c r="L2" t="s">
        <v>9</v>
      </c>
      <c r="M2" t="s">
        <v>34</v>
      </c>
      <c r="O2" s="51">
        <v>24</v>
      </c>
      <c r="P2" s="57">
        <v>631.71</v>
      </c>
      <c r="Q2" s="57">
        <v>878.62000000000012</v>
      </c>
      <c r="R2" s="57">
        <v>1510.3300000000002</v>
      </c>
    </row>
    <row r="3" spans="1:25" x14ac:dyDescent="0.25">
      <c r="A3" s="14">
        <v>21</v>
      </c>
      <c r="B3" s="15">
        <v>1.5</v>
      </c>
      <c r="C3" s="58">
        <v>23.33</v>
      </c>
      <c r="D3" s="14" t="s">
        <v>9</v>
      </c>
      <c r="E3" s="20"/>
      <c r="F3" s="14" t="s">
        <v>46</v>
      </c>
      <c r="G3">
        <f>SUMIFS(C2:C661,B2:B661,"&gt;9,50")</f>
        <v>7577.3199999999988</v>
      </c>
      <c r="H3">
        <f>COUNTIFS(B:B,"&gt;9,50")</f>
        <v>91</v>
      </c>
      <c r="J3" s="51">
        <v>24</v>
      </c>
      <c r="K3" s="57">
        <v>631.71</v>
      </c>
      <c r="L3" s="57">
        <v>878.62000000000012</v>
      </c>
      <c r="M3" s="57">
        <v>1510.3300000000002</v>
      </c>
      <c r="O3" s="51">
        <v>25</v>
      </c>
      <c r="P3" s="57">
        <v>368.73999999999995</v>
      </c>
      <c r="Q3" s="57">
        <v>1028.4100000000001</v>
      </c>
      <c r="R3" s="57">
        <v>1397.15</v>
      </c>
      <c r="T3" s="50" t="s">
        <v>40</v>
      </c>
      <c r="U3" t="s">
        <v>36</v>
      </c>
      <c r="W3" s="50" t="s">
        <v>34</v>
      </c>
      <c r="X3" t="s">
        <v>38</v>
      </c>
    </row>
    <row r="4" spans="1:25" x14ac:dyDescent="0.25">
      <c r="A4" s="14">
        <v>5</v>
      </c>
      <c r="B4" s="15">
        <v>1.5</v>
      </c>
      <c r="C4" s="58">
        <v>22.81</v>
      </c>
      <c r="D4" s="14" t="s">
        <v>9</v>
      </c>
      <c r="E4" s="14"/>
      <c r="F4" s="20" t="s">
        <v>30</v>
      </c>
      <c r="G4" s="21">
        <f>SUMIF(D:D,"bien de conso.",C:C)</f>
        <v>14763.899999999994</v>
      </c>
      <c r="J4" s="51">
        <v>25</v>
      </c>
      <c r="K4" s="57">
        <v>368.73999999999995</v>
      </c>
      <c r="L4" s="57">
        <v>1028.4100000000001</v>
      </c>
      <c r="M4" s="57">
        <v>1397.15</v>
      </c>
      <c r="O4" s="51">
        <v>26</v>
      </c>
      <c r="P4" s="57">
        <v>619.50999999999988</v>
      </c>
      <c r="Q4" s="57">
        <v>719.2399999999999</v>
      </c>
      <c r="R4" s="57">
        <v>1338.7499999999998</v>
      </c>
      <c r="T4" s="51" t="s">
        <v>8</v>
      </c>
      <c r="U4" s="57">
        <v>14763.899999999992</v>
      </c>
    </row>
    <row r="5" spans="1:25" x14ac:dyDescent="0.25">
      <c r="A5" s="14">
        <v>27</v>
      </c>
      <c r="B5" s="15">
        <v>1.6</v>
      </c>
      <c r="C5" s="58">
        <v>38.61</v>
      </c>
      <c r="D5" s="14" t="s">
        <v>9</v>
      </c>
      <c r="E5" s="14"/>
      <c r="F5" s="20" t="s">
        <v>31</v>
      </c>
      <c r="G5" s="21">
        <f>SUMIF(D:D,"nourriture",C:C)</f>
        <v>24898.819999999985</v>
      </c>
      <c r="J5" s="51">
        <v>26</v>
      </c>
      <c r="K5" s="57">
        <v>619.50999999999988</v>
      </c>
      <c r="L5" s="57">
        <v>719.2399999999999</v>
      </c>
      <c r="M5" s="57">
        <v>1338.7499999999998</v>
      </c>
      <c r="O5" s="51">
        <v>36</v>
      </c>
      <c r="P5" s="57">
        <v>505.64</v>
      </c>
      <c r="Q5" s="57">
        <v>729.21</v>
      </c>
      <c r="R5" s="57">
        <v>1234.8499999999999</v>
      </c>
      <c r="T5" s="51" t="s">
        <v>9</v>
      </c>
      <c r="U5" s="57">
        <v>24898.820000000011</v>
      </c>
      <c r="W5" s="50" t="s">
        <v>35</v>
      </c>
      <c r="X5" s="50" t="s">
        <v>44</v>
      </c>
      <c r="Y5" t="s">
        <v>43</v>
      </c>
    </row>
    <row r="6" spans="1:25" x14ac:dyDescent="0.25">
      <c r="A6" s="14">
        <v>50</v>
      </c>
      <c r="B6" s="15">
        <v>1.7</v>
      </c>
      <c r="C6" s="58">
        <v>17.32</v>
      </c>
      <c r="D6" s="14" t="s">
        <v>9</v>
      </c>
      <c r="E6" s="14"/>
      <c r="F6" s="14"/>
      <c r="J6" s="51">
        <v>36</v>
      </c>
      <c r="K6" s="57">
        <v>505.64</v>
      </c>
      <c r="L6" s="57">
        <v>729.21</v>
      </c>
      <c r="M6" s="57">
        <v>1234.8499999999999</v>
      </c>
      <c r="O6" s="51">
        <v>20</v>
      </c>
      <c r="P6" s="57">
        <v>368.79999999999995</v>
      </c>
      <c r="Q6" s="57">
        <v>779.14999999999986</v>
      </c>
      <c r="R6" s="57">
        <v>1147.9499999999998</v>
      </c>
      <c r="T6" s="51" t="s">
        <v>34</v>
      </c>
      <c r="U6" s="57">
        <v>39662.720000000001</v>
      </c>
      <c r="W6" s="51">
        <v>15</v>
      </c>
      <c r="X6" s="57">
        <v>872.34</v>
      </c>
      <c r="Y6" s="57">
        <v>190.66</v>
      </c>
    </row>
    <row r="7" spans="1:25" x14ac:dyDescent="0.25">
      <c r="A7" s="14">
        <v>6</v>
      </c>
      <c r="B7" s="15">
        <v>1.8</v>
      </c>
      <c r="C7" s="58">
        <v>67.260000000000005</v>
      </c>
      <c r="D7" s="14" t="s">
        <v>9</v>
      </c>
      <c r="E7" s="14"/>
      <c r="F7" s="14"/>
      <c r="J7" s="51">
        <v>20</v>
      </c>
      <c r="K7" s="57">
        <v>368.79999999999995</v>
      </c>
      <c r="L7" s="57">
        <v>779.14999999999986</v>
      </c>
      <c r="M7" s="57">
        <v>1147.9499999999998</v>
      </c>
      <c r="O7" s="51">
        <v>35</v>
      </c>
      <c r="P7" s="57">
        <v>482.34000000000003</v>
      </c>
      <c r="Q7" s="57">
        <v>639.66000000000008</v>
      </c>
      <c r="R7" s="57">
        <v>1122</v>
      </c>
      <c r="W7" s="51">
        <v>20</v>
      </c>
      <c r="X7" s="57">
        <v>779.14999999999986</v>
      </c>
      <c r="Y7" s="57">
        <v>368.79999999999995</v>
      </c>
    </row>
    <row r="8" spans="1:25" x14ac:dyDescent="0.25">
      <c r="A8" s="14">
        <v>1</v>
      </c>
      <c r="B8" s="15">
        <v>1.8</v>
      </c>
      <c r="C8" s="58">
        <v>31.37</v>
      </c>
      <c r="D8" s="14" t="s">
        <v>9</v>
      </c>
      <c r="E8" s="14"/>
      <c r="F8" s="14"/>
      <c r="J8" s="51">
        <v>35</v>
      </c>
      <c r="K8" s="57">
        <v>482.34000000000003</v>
      </c>
      <c r="L8" s="57">
        <v>639.66000000000008</v>
      </c>
      <c r="M8" s="57">
        <v>1122</v>
      </c>
      <c r="O8" s="51">
        <v>31</v>
      </c>
      <c r="P8" s="57">
        <v>589.95999999999992</v>
      </c>
      <c r="Q8" s="57">
        <v>525.25</v>
      </c>
      <c r="R8" s="57">
        <v>1115.21</v>
      </c>
      <c r="W8" s="51">
        <v>22</v>
      </c>
      <c r="X8" s="57">
        <v>743.33</v>
      </c>
      <c r="Y8" s="57">
        <v>291.37</v>
      </c>
    </row>
    <row r="9" spans="1:25" x14ac:dyDescent="0.25">
      <c r="A9" s="14">
        <v>36</v>
      </c>
      <c r="B9" s="15">
        <v>1.9</v>
      </c>
      <c r="C9" s="58">
        <v>28.32</v>
      </c>
      <c r="D9" s="14" t="s">
        <v>9</v>
      </c>
      <c r="E9" s="14"/>
      <c r="F9" s="14"/>
      <c r="J9" s="51">
        <v>31</v>
      </c>
      <c r="K9" s="57">
        <v>589.95999999999992</v>
      </c>
      <c r="L9" s="57">
        <v>525.25</v>
      </c>
      <c r="M9" s="57">
        <v>1115.21</v>
      </c>
      <c r="O9" s="51">
        <v>38</v>
      </c>
      <c r="P9" s="57">
        <v>568.76</v>
      </c>
      <c r="Q9" s="57">
        <v>526.25</v>
      </c>
      <c r="R9" s="57">
        <v>1095.01</v>
      </c>
      <c r="W9" s="51">
        <v>24</v>
      </c>
      <c r="X9" s="57">
        <v>878.62000000000012</v>
      </c>
      <c r="Y9" s="57">
        <v>631.71</v>
      </c>
    </row>
    <row r="10" spans="1:25" x14ac:dyDescent="0.25">
      <c r="A10" s="14">
        <v>30</v>
      </c>
      <c r="B10" s="15">
        <v>2</v>
      </c>
      <c r="C10" s="58">
        <v>32.700000000000003</v>
      </c>
      <c r="D10" s="14" t="s">
        <v>9</v>
      </c>
      <c r="E10" s="14"/>
      <c r="F10" s="14"/>
      <c r="J10" s="51">
        <v>38</v>
      </c>
      <c r="K10" s="57">
        <v>568.76</v>
      </c>
      <c r="L10" s="57">
        <v>526.25</v>
      </c>
      <c r="M10" s="57">
        <v>1095.01</v>
      </c>
      <c r="O10" s="51">
        <v>15</v>
      </c>
      <c r="P10" s="57">
        <v>190.66</v>
      </c>
      <c r="Q10" s="57">
        <v>872.34</v>
      </c>
      <c r="R10" s="57">
        <v>1063</v>
      </c>
      <c r="W10" s="51">
        <v>25</v>
      </c>
      <c r="X10" s="57">
        <v>1028.4100000000001</v>
      </c>
      <c r="Y10" s="57">
        <v>368.73999999999995</v>
      </c>
    </row>
    <row r="11" spans="1:25" x14ac:dyDescent="0.25">
      <c r="A11" s="14">
        <v>17</v>
      </c>
      <c r="B11" s="15">
        <v>2</v>
      </c>
      <c r="C11" s="58">
        <v>29.17</v>
      </c>
      <c r="D11" s="14" t="s">
        <v>9</v>
      </c>
      <c r="E11" s="14"/>
      <c r="F11" s="14"/>
      <c r="J11" s="51">
        <v>15</v>
      </c>
      <c r="K11" s="57">
        <v>190.66</v>
      </c>
      <c r="L11" s="57">
        <v>872.34</v>
      </c>
      <c r="M11" s="57">
        <v>1063</v>
      </c>
      <c r="O11" s="51">
        <v>22</v>
      </c>
      <c r="P11" s="57">
        <v>291.37</v>
      </c>
      <c r="Q11" s="57">
        <v>743.33</v>
      </c>
      <c r="R11" s="57">
        <v>1034.7</v>
      </c>
      <c r="W11" s="51">
        <v>26</v>
      </c>
      <c r="X11" s="57">
        <v>719.2399999999999</v>
      </c>
      <c r="Y11" s="57">
        <v>619.50999999999988</v>
      </c>
    </row>
    <row r="12" spans="1:25" x14ac:dyDescent="0.25">
      <c r="A12" s="14">
        <v>34</v>
      </c>
      <c r="B12" s="15">
        <v>2</v>
      </c>
      <c r="C12" s="58">
        <v>19.010000000000002</v>
      </c>
      <c r="D12" s="14" t="s">
        <v>9</v>
      </c>
      <c r="E12" s="14"/>
      <c r="F12" s="14"/>
      <c r="J12" s="51">
        <v>22</v>
      </c>
      <c r="K12" s="57">
        <v>291.37</v>
      </c>
      <c r="L12" s="57">
        <v>743.33</v>
      </c>
      <c r="M12" s="57">
        <v>1034.7</v>
      </c>
      <c r="W12" s="51">
        <v>31</v>
      </c>
      <c r="X12" s="57">
        <v>525.25</v>
      </c>
      <c r="Y12" s="57">
        <v>589.95999999999992</v>
      </c>
    </row>
    <row r="13" spans="1:25" x14ac:dyDescent="0.25">
      <c r="A13" s="14">
        <v>39</v>
      </c>
      <c r="B13" s="15">
        <v>2.1</v>
      </c>
      <c r="C13" s="58">
        <v>43.17</v>
      </c>
      <c r="D13" s="14" t="s">
        <v>9</v>
      </c>
      <c r="E13" s="14"/>
      <c r="F13" s="14"/>
      <c r="J13" s="51">
        <v>28</v>
      </c>
      <c r="K13" s="57">
        <v>544.31999999999994</v>
      </c>
      <c r="L13" s="57">
        <v>481.02</v>
      </c>
      <c r="M13" s="57">
        <v>1025.3399999999999</v>
      </c>
      <c r="W13" s="51">
        <v>35</v>
      </c>
      <c r="X13" s="57">
        <v>639.66000000000008</v>
      </c>
      <c r="Y13" s="57">
        <v>482.34000000000003</v>
      </c>
    </row>
    <row r="14" spans="1:25" x14ac:dyDescent="0.25">
      <c r="A14" s="14">
        <v>9</v>
      </c>
      <c r="B14" s="15">
        <v>2.1</v>
      </c>
      <c r="C14" s="58">
        <v>22.59</v>
      </c>
      <c r="D14" s="14" t="s">
        <v>9</v>
      </c>
      <c r="E14" s="14"/>
      <c r="F14" s="14"/>
      <c r="J14" s="51">
        <v>18</v>
      </c>
      <c r="K14" s="57">
        <v>531.19000000000005</v>
      </c>
      <c r="L14" s="57">
        <v>483.06</v>
      </c>
      <c r="M14" s="57">
        <v>1014.25</v>
      </c>
      <c r="W14" s="51">
        <v>36</v>
      </c>
      <c r="X14" s="57">
        <v>729.21</v>
      </c>
      <c r="Y14" s="57">
        <v>505.64</v>
      </c>
    </row>
    <row r="15" spans="1:25" x14ac:dyDescent="0.25">
      <c r="A15" s="14">
        <v>9</v>
      </c>
      <c r="B15" s="15">
        <v>2.2999999999999998</v>
      </c>
      <c r="C15" s="58">
        <v>51.99</v>
      </c>
      <c r="D15" s="14" t="s">
        <v>9</v>
      </c>
      <c r="E15" s="14"/>
      <c r="F15" s="14"/>
      <c r="J15" s="51">
        <v>30</v>
      </c>
      <c r="K15" s="57">
        <v>481.39</v>
      </c>
      <c r="L15" s="57">
        <v>519.33000000000004</v>
      </c>
      <c r="M15" s="57">
        <v>1000.72</v>
      </c>
      <c r="W15" s="51">
        <v>38</v>
      </c>
      <c r="X15" s="57">
        <v>526.25</v>
      </c>
      <c r="Y15" s="57">
        <v>568.76</v>
      </c>
    </row>
    <row r="16" spans="1:25" x14ac:dyDescent="0.25">
      <c r="A16" s="14">
        <v>37</v>
      </c>
      <c r="B16" s="15">
        <v>2.2999999999999998</v>
      </c>
      <c r="C16" s="58">
        <v>39.54</v>
      </c>
      <c r="D16" s="14" t="s">
        <v>9</v>
      </c>
      <c r="E16" s="14"/>
      <c r="F16" s="14"/>
      <c r="J16" s="51">
        <v>16</v>
      </c>
      <c r="K16" s="57">
        <v>378.16</v>
      </c>
      <c r="L16" s="57">
        <v>588.88</v>
      </c>
      <c r="M16" s="57">
        <v>967.04</v>
      </c>
      <c r="W16" s="51" t="s">
        <v>34</v>
      </c>
      <c r="X16" s="57">
        <v>7441.4599999999991</v>
      </c>
      <c r="Y16" s="57">
        <v>4617.49</v>
      </c>
    </row>
    <row r="17" spans="1:13" x14ac:dyDescent="0.25">
      <c r="A17" s="14">
        <v>13</v>
      </c>
      <c r="B17" s="15">
        <v>2.2999999999999998</v>
      </c>
      <c r="C17" s="58">
        <v>14</v>
      </c>
      <c r="D17" s="14" t="s">
        <v>9</v>
      </c>
      <c r="E17" s="14"/>
      <c r="F17" s="14"/>
      <c r="J17" s="51">
        <v>27</v>
      </c>
      <c r="K17" s="57">
        <v>364.6</v>
      </c>
      <c r="L17" s="57">
        <v>570.93000000000006</v>
      </c>
      <c r="M17" s="57">
        <v>935.53000000000009</v>
      </c>
    </row>
    <row r="18" spans="1:13" x14ac:dyDescent="0.25">
      <c r="A18" s="14">
        <v>25</v>
      </c>
      <c r="B18" s="15">
        <v>2.4</v>
      </c>
      <c r="C18" s="58">
        <v>48.14</v>
      </c>
      <c r="D18" s="14" t="s">
        <v>9</v>
      </c>
      <c r="E18" s="14"/>
      <c r="F18" s="14"/>
      <c r="J18" s="51">
        <v>17</v>
      </c>
      <c r="K18" s="57">
        <v>125.60999999999999</v>
      </c>
      <c r="L18" s="57">
        <v>783.24999999999989</v>
      </c>
      <c r="M18" s="57">
        <v>908.8599999999999</v>
      </c>
    </row>
    <row r="19" spans="1:13" x14ac:dyDescent="0.25">
      <c r="A19" s="14">
        <v>12</v>
      </c>
      <c r="B19" s="15">
        <v>2.4</v>
      </c>
      <c r="C19" s="58">
        <v>31.1</v>
      </c>
      <c r="D19" s="14" t="s">
        <v>9</v>
      </c>
      <c r="E19" s="14"/>
      <c r="F19" s="14"/>
      <c r="J19" s="51">
        <v>14</v>
      </c>
      <c r="K19" s="57">
        <v>273.77999999999997</v>
      </c>
      <c r="L19" s="57">
        <v>612.15</v>
      </c>
      <c r="M19" s="57">
        <v>885.93</v>
      </c>
    </row>
    <row r="20" spans="1:13" x14ac:dyDescent="0.25">
      <c r="A20" s="14">
        <v>6</v>
      </c>
      <c r="B20" s="15">
        <v>2.5</v>
      </c>
      <c r="C20" s="58">
        <v>38.9</v>
      </c>
      <c r="D20" s="14" t="s">
        <v>9</v>
      </c>
      <c r="E20" s="14"/>
      <c r="F20" s="14"/>
      <c r="J20" s="51">
        <v>9</v>
      </c>
      <c r="K20" s="57">
        <v>273.39000000000004</v>
      </c>
      <c r="L20" s="57">
        <v>608.83999999999992</v>
      </c>
      <c r="M20" s="57">
        <v>882.23</v>
      </c>
    </row>
    <row r="21" spans="1:13" ht="15.75" customHeight="1" x14ac:dyDescent="0.25">
      <c r="A21" s="14">
        <v>26</v>
      </c>
      <c r="B21" s="15">
        <v>2.6</v>
      </c>
      <c r="C21" s="58">
        <v>43.26</v>
      </c>
      <c r="D21" s="14" t="s">
        <v>9</v>
      </c>
      <c r="E21" s="14"/>
      <c r="F21" s="14"/>
      <c r="J21" s="51">
        <v>2</v>
      </c>
      <c r="K21" s="57">
        <v>142.66</v>
      </c>
      <c r="L21" s="57">
        <v>728.97</v>
      </c>
      <c r="M21" s="57">
        <v>871.63</v>
      </c>
    </row>
    <row r="22" spans="1:13" ht="15.75" customHeight="1" x14ac:dyDescent="0.25">
      <c r="A22" s="14">
        <v>18</v>
      </c>
      <c r="B22" s="15">
        <v>2.6</v>
      </c>
      <c r="C22" s="58">
        <v>42.51</v>
      </c>
      <c r="D22" s="14" t="s">
        <v>9</v>
      </c>
      <c r="E22" s="14"/>
      <c r="F22" s="14"/>
      <c r="J22" s="51">
        <v>7</v>
      </c>
      <c r="K22" s="57">
        <v>536.27</v>
      </c>
      <c r="L22" s="57">
        <v>320.99</v>
      </c>
      <c r="M22" s="57">
        <v>857.26</v>
      </c>
    </row>
    <row r="23" spans="1:13" ht="15.75" customHeight="1" x14ac:dyDescent="0.25">
      <c r="A23" s="14">
        <v>15</v>
      </c>
      <c r="B23" s="15">
        <v>2.6</v>
      </c>
      <c r="C23" s="58">
        <v>9.8000000000000007</v>
      </c>
      <c r="D23" s="14" t="s">
        <v>9</v>
      </c>
      <c r="E23" s="14"/>
      <c r="F23" s="14"/>
      <c r="J23" s="51">
        <v>23</v>
      </c>
      <c r="K23" s="57">
        <v>418.84000000000003</v>
      </c>
      <c r="L23" s="57">
        <v>415.29999999999995</v>
      </c>
      <c r="M23" s="57">
        <v>834.14</v>
      </c>
    </row>
    <row r="24" spans="1:13" ht="15.75" customHeight="1" x14ac:dyDescent="0.25">
      <c r="A24" s="14">
        <v>29</v>
      </c>
      <c r="B24" s="15">
        <v>2.67</v>
      </c>
      <c r="C24" s="58">
        <v>25.28</v>
      </c>
      <c r="D24" s="14" t="s">
        <v>9</v>
      </c>
      <c r="E24" s="14"/>
      <c r="F24" s="14"/>
      <c r="J24" s="51">
        <v>29</v>
      </c>
      <c r="K24" s="57">
        <v>256.72000000000003</v>
      </c>
      <c r="L24" s="57">
        <v>541.62</v>
      </c>
      <c r="M24" s="57">
        <v>798.34</v>
      </c>
    </row>
    <row r="25" spans="1:13" ht="15.75" customHeight="1" x14ac:dyDescent="0.25">
      <c r="A25" s="14">
        <v>57</v>
      </c>
      <c r="B25" s="15">
        <v>2.7</v>
      </c>
      <c r="C25" s="58">
        <v>16.579999999999998</v>
      </c>
      <c r="D25" s="14" t="s">
        <v>9</v>
      </c>
      <c r="E25" s="14"/>
      <c r="F25" s="14"/>
      <c r="J25" s="51">
        <v>41</v>
      </c>
      <c r="K25" s="57">
        <v>237.23000000000002</v>
      </c>
      <c r="L25" s="57">
        <v>547.75</v>
      </c>
      <c r="M25" s="57">
        <v>784.98</v>
      </c>
    </row>
    <row r="26" spans="1:13" ht="15.75" customHeight="1" x14ac:dyDescent="0.25">
      <c r="A26" s="14">
        <v>16</v>
      </c>
      <c r="B26" s="15">
        <v>2.8</v>
      </c>
      <c r="C26" s="58">
        <v>63</v>
      </c>
      <c r="D26" s="14" t="s">
        <v>9</v>
      </c>
      <c r="E26" s="14"/>
      <c r="F26" s="14"/>
      <c r="J26" s="51">
        <v>34</v>
      </c>
      <c r="K26" s="57">
        <v>463.87</v>
      </c>
      <c r="L26" s="57">
        <v>299.14999999999998</v>
      </c>
      <c r="M26" s="57">
        <v>763.02</v>
      </c>
    </row>
    <row r="27" spans="1:13" ht="15.75" customHeight="1" x14ac:dyDescent="0.25">
      <c r="A27" s="14">
        <v>23</v>
      </c>
      <c r="B27" s="15">
        <v>2.8</v>
      </c>
      <c r="C27" s="58">
        <v>11.14</v>
      </c>
      <c r="D27" s="14" t="s">
        <v>9</v>
      </c>
      <c r="E27" s="14"/>
      <c r="F27" s="14"/>
      <c r="J27" s="51">
        <v>10</v>
      </c>
      <c r="K27" s="57">
        <v>223.78</v>
      </c>
      <c r="L27" s="57">
        <v>523.89</v>
      </c>
      <c r="M27" s="57">
        <v>747.67</v>
      </c>
    </row>
    <row r="28" spans="1:13" ht="15.75" customHeight="1" x14ac:dyDescent="0.25">
      <c r="A28" s="14">
        <v>19</v>
      </c>
      <c r="B28" s="15">
        <v>2.9</v>
      </c>
      <c r="C28" s="58">
        <v>31.65</v>
      </c>
      <c r="D28" s="14" t="s">
        <v>9</v>
      </c>
      <c r="E28" s="14"/>
      <c r="F28" s="14"/>
      <c r="J28" s="51">
        <v>5</v>
      </c>
      <c r="K28" s="57">
        <v>163.13999999999999</v>
      </c>
      <c r="L28" s="57">
        <v>580.52</v>
      </c>
      <c r="M28" s="57">
        <v>743.66</v>
      </c>
    </row>
    <row r="29" spans="1:13" ht="15.75" customHeight="1" x14ac:dyDescent="0.25">
      <c r="A29" s="14">
        <v>29</v>
      </c>
      <c r="B29" s="15">
        <v>2.9</v>
      </c>
      <c r="C29" s="58">
        <v>26.05</v>
      </c>
      <c r="D29" s="14" t="s">
        <v>9</v>
      </c>
      <c r="E29" s="14"/>
      <c r="F29" s="14"/>
      <c r="J29" s="51">
        <v>32</v>
      </c>
      <c r="K29" s="57"/>
      <c r="L29" s="57">
        <v>742.91</v>
      </c>
      <c r="M29" s="57">
        <v>742.91</v>
      </c>
    </row>
    <row r="30" spans="1:13" ht="15.75" customHeight="1" x14ac:dyDescent="0.25">
      <c r="A30" s="14">
        <v>39</v>
      </c>
      <c r="B30" s="15">
        <v>3</v>
      </c>
      <c r="C30" s="58">
        <v>58.89</v>
      </c>
      <c r="D30" s="14" t="s">
        <v>9</v>
      </c>
      <c r="E30" s="14"/>
      <c r="F30" s="14"/>
      <c r="J30" s="51">
        <v>19</v>
      </c>
      <c r="K30" s="57">
        <v>169.84</v>
      </c>
      <c r="L30" s="57">
        <v>531.19000000000005</v>
      </c>
      <c r="M30" s="57">
        <v>701.03000000000009</v>
      </c>
    </row>
    <row r="31" spans="1:13" ht="15.75" customHeight="1" x14ac:dyDescent="0.25">
      <c r="A31" s="14">
        <v>20</v>
      </c>
      <c r="B31" s="15">
        <v>3</v>
      </c>
      <c r="C31" s="58">
        <v>30.68</v>
      </c>
      <c r="D31" s="14" t="s">
        <v>9</v>
      </c>
      <c r="E31" s="14"/>
      <c r="F31" s="14"/>
      <c r="J31" s="51">
        <v>3</v>
      </c>
      <c r="K31" s="57">
        <v>360.62</v>
      </c>
      <c r="L31" s="57">
        <v>275.13</v>
      </c>
      <c r="M31" s="57">
        <v>635.75</v>
      </c>
    </row>
    <row r="32" spans="1:13" ht="15.75" customHeight="1" x14ac:dyDescent="0.25">
      <c r="A32" s="14">
        <v>26</v>
      </c>
      <c r="B32" s="15">
        <v>3.2</v>
      </c>
      <c r="C32" s="58">
        <v>6.97</v>
      </c>
      <c r="D32" s="14" t="s">
        <v>9</v>
      </c>
      <c r="E32" s="14"/>
      <c r="F32" s="14"/>
      <c r="J32" s="51">
        <v>42</v>
      </c>
      <c r="K32" s="57">
        <v>211.31</v>
      </c>
      <c r="L32" s="57">
        <v>411.21000000000004</v>
      </c>
      <c r="M32" s="57">
        <v>622.52</v>
      </c>
    </row>
    <row r="33" spans="1:13" ht="15.75" customHeight="1" x14ac:dyDescent="0.25">
      <c r="A33" s="14">
        <v>37</v>
      </c>
      <c r="B33" s="15">
        <v>3.3</v>
      </c>
      <c r="C33" s="58">
        <v>43.28</v>
      </c>
      <c r="D33" s="14" t="s">
        <v>9</v>
      </c>
      <c r="E33" s="14"/>
      <c r="F33" s="14"/>
      <c r="J33" s="51">
        <v>13</v>
      </c>
      <c r="K33" s="57">
        <v>284.57</v>
      </c>
      <c r="L33" s="57">
        <v>311.83</v>
      </c>
      <c r="M33" s="57">
        <v>596.4</v>
      </c>
    </row>
    <row r="34" spans="1:13" ht="15.75" customHeight="1" x14ac:dyDescent="0.25">
      <c r="A34" s="14">
        <v>42</v>
      </c>
      <c r="B34" s="15">
        <v>3.3</v>
      </c>
      <c r="C34" s="58">
        <v>41.24</v>
      </c>
      <c r="D34" s="14" t="s">
        <v>9</v>
      </c>
      <c r="E34" s="14"/>
      <c r="F34" s="14"/>
      <c r="J34" s="51">
        <v>6</v>
      </c>
      <c r="K34" s="57">
        <v>338.63000000000005</v>
      </c>
      <c r="L34" s="57">
        <v>248.14000000000001</v>
      </c>
      <c r="M34" s="57">
        <v>586.7700000000001</v>
      </c>
    </row>
    <row r="35" spans="1:13" ht="15.75" customHeight="1" x14ac:dyDescent="0.25">
      <c r="A35" s="14">
        <v>44</v>
      </c>
      <c r="B35" s="15">
        <v>3.3</v>
      </c>
      <c r="C35" s="58">
        <v>35.11</v>
      </c>
      <c r="D35" s="14" t="s">
        <v>9</v>
      </c>
      <c r="E35" s="14"/>
      <c r="F35" s="14"/>
      <c r="J35" s="51">
        <v>21</v>
      </c>
      <c r="K35" s="57"/>
      <c r="L35" s="57">
        <v>573.63</v>
      </c>
      <c r="M35" s="57">
        <v>573.63</v>
      </c>
    </row>
    <row r="36" spans="1:13" ht="15.75" customHeight="1" x14ac:dyDescent="0.25">
      <c r="A36" s="14">
        <v>2</v>
      </c>
      <c r="B36" s="15">
        <v>3.3</v>
      </c>
      <c r="C36" s="58">
        <v>33.03</v>
      </c>
      <c r="D36" s="14" t="s">
        <v>9</v>
      </c>
      <c r="E36" s="14"/>
      <c r="F36" s="14"/>
      <c r="J36" s="51">
        <v>33</v>
      </c>
      <c r="K36" s="57">
        <v>246.23</v>
      </c>
      <c r="L36" s="57">
        <v>304.17</v>
      </c>
      <c r="M36" s="57">
        <v>550.4</v>
      </c>
    </row>
    <row r="37" spans="1:13" ht="15.75" customHeight="1" x14ac:dyDescent="0.25">
      <c r="A37" s="14">
        <v>9</v>
      </c>
      <c r="B37" s="15">
        <v>3.5</v>
      </c>
      <c r="C37" s="58">
        <v>51.98</v>
      </c>
      <c r="D37" s="14" t="s">
        <v>9</v>
      </c>
      <c r="E37" s="14"/>
      <c r="F37" s="14"/>
      <c r="J37" s="51">
        <v>39</v>
      </c>
      <c r="K37" s="57">
        <v>231.14</v>
      </c>
      <c r="L37" s="57">
        <v>311.79000000000002</v>
      </c>
      <c r="M37" s="57">
        <v>542.93000000000006</v>
      </c>
    </row>
    <row r="38" spans="1:13" ht="15.75" customHeight="1" x14ac:dyDescent="0.25">
      <c r="A38" s="14">
        <v>11</v>
      </c>
      <c r="B38" s="15">
        <v>3.5</v>
      </c>
      <c r="C38" s="58">
        <v>22.47</v>
      </c>
      <c r="D38" s="14" t="s">
        <v>9</v>
      </c>
      <c r="E38" s="14"/>
      <c r="F38" s="14"/>
      <c r="J38" s="51">
        <v>46</v>
      </c>
      <c r="K38" s="57">
        <v>142.07999999999998</v>
      </c>
      <c r="L38" s="57">
        <v>386.6</v>
      </c>
      <c r="M38" s="57">
        <v>528.68000000000006</v>
      </c>
    </row>
    <row r="39" spans="1:13" ht="15.75" customHeight="1" x14ac:dyDescent="0.25">
      <c r="A39" s="14">
        <v>38</v>
      </c>
      <c r="B39" s="15">
        <v>3.6</v>
      </c>
      <c r="C39" s="58">
        <v>48.57</v>
      </c>
      <c r="D39" s="14" t="s">
        <v>9</v>
      </c>
      <c r="E39" s="14"/>
      <c r="F39" s="14"/>
      <c r="J39" s="51">
        <v>40</v>
      </c>
      <c r="K39" s="57">
        <v>88.13</v>
      </c>
      <c r="L39" s="57">
        <v>433.92</v>
      </c>
      <c r="M39" s="57">
        <v>522.04999999999995</v>
      </c>
    </row>
    <row r="40" spans="1:13" ht="15.75" customHeight="1" x14ac:dyDescent="0.25">
      <c r="A40" s="14">
        <v>47</v>
      </c>
      <c r="B40" s="15">
        <v>3.6</v>
      </c>
      <c r="C40" s="58">
        <v>30.33</v>
      </c>
      <c r="D40" s="14" t="s">
        <v>9</v>
      </c>
      <c r="E40" s="14"/>
      <c r="F40" s="14"/>
      <c r="J40" s="51">
        <v>51</v>
      </c>
      <c r="K40" s="57">
        <v>119.58000000000001</v>
      </c>
      <c r="L40" s="57">
        <v>392.12</v>
      </c>
      <c r="M40" s="57">
        <v>511.70000000000005</v>
      </c>
    </row>
    <row r="41" spans="1:13" ht="15.75" customHeight="1" x14ac:dyDescent="0.25">
      <c r="A41" s="14">
        <v>12</v>
      </c>
      <c r="B41" s="15">
        <v>3.7</v>
      </c>
      <c r="C41" s="58">
        <v>34.53</v>
      </c>
      <c r="D41" s="14" t="s">
        <v>9</v>
      </c>
      <c r="E41" s="14"/>
      <c r="F41" s="14"/>
      <c r="J41" s="51">
        <v>8</v>
      </c>
      <c r="K41" s="57">
        <v>136.15</v>
      </c>
      <c r="L41" s="57">
        <v>373.76000000000005</v>
      </c>
      <c r="M41" s="57">
        <v>509.91000000000008</v>
      </c>
    </row>
    <row r="42" spans="1:13" ht="15.75" customHeight="1" x14ac:dyDescent="0.25">
      <c r="A42" s="14">
        <v>30</v>
      </c>
      <c r="B42" s="15">
        <v>3.7</v>
      </c>
      <c r="C42" s="58">
        <v>12.65</v>
      </c>
      <c r="D42" s="14" t="s">
        <v>9</v>
      </c>
      <c r="E42" s="14"/>
      <c r="F42" s="14"/>
      <c r="J42" s="51">
        <v>48</v>
      </c>
      <c r="K42" s="57">
        <v>142.58999999999997</v>
      </c>
      <c r="L42" s="57">
        <v>352.4</v>
      </c>
      <c r="M42" s="57">
        <v>494.98999999999995</v>
      </c>
    </row>
    <row r="43" spans="1:13" ht="15.75" customHeight="1" x14ac:dyDescent="0.25">
      <c r="A43" s="14">
        <v>19</v>
      </c>
      <c r="B43" s="15">
        <v>3.8</v>
      </c>
      <c r="C43" s="58">
        <v>50.34</v>
      </c>
      <c r="D43" s="14" t="s">
        <v>9</v>
      </c>
      <c r="E43" s="14"/>
      <c r="F43" s="14"/>
      <c r="J43" s="51">
        <v>43</v>
      </c>
      <c r="K43" s="57">
        <v>259.49</v>
      </c>
      <c r="L43" s="57">
        <v>229.98</v>
      </c>
      <c r="M43" s="57">
        <v>489.47</v>
      </c>
    </row>
    <row r="44" spans="1:13" ht="15.75" customHeight="1" x14ac:dyDescent="0.25">
      <c r="A44" s="14">
        <v>25</v>
      </c>
      <c r="B44" s="15">
        <v>3.8</v>
      </c>
      <c r="C44" s="58">
        <v>44.87</v>
      </c>
      <c r="D44" s="14" t="s">
        <v>9</v>
      </c>
      <c r="E44" s="14"/>
      <c r="F44" s="14"/>
      <c r="J44" s="51">
        <v>44</v>
      </c>
      <c r="K44" s="57">
        <v>173.57</v>
      </c>
      <c r="L44" s="57">
        <v>293.58</v>
      </c>
      <c r="M44" s="57">
        <v>467.15</v>
      </c>
    </row>
    <row r="45" spans="1:13" ht="15.75" customHeight="1" x14ac:dyDescent="0.25">
      <c r="A45" s="14">
        <v>19</v>
      </c>
      <c r="B45" s="15">
        <v>3.8</v>
      </c>
      <c r="C45" s="58">
        <v>23.5</v>
      </c>
      <c r="D45" s="14" t="s">
        <v>9</v>
      </c>
      <c r="E45" s="14"/>
      <c r="F45" s="14"/>
      <c r="J45" s="51">
        <v>37</v>
      </c>
      <c r="K45" s="57">
        <v>112.71000000000001</v>
      </c>
      <c r="L45" s="57">
        <v>338.86</v>
      </c>
      <c r="M45" s="57">
        <v>451.57000000000005</v>
      </c>
    </row>
    <row r="46" spans="1:13" ht="15.75" customHeight="1" x14ac:dyDescent="0.25">
      <c r="A46" s="14">
        <v>12</v>
      </c>
      <c r="B46" s="15">
        <v>3.9</v>
      </c>
      <c r="C46" s="58">
        <v>50.93</v>
      </c>
      <c r="D46" s="14" t="s">
        <v>9</v>
      </c>
      <c r="E46" s="14"/>
      <c r="F46" s="14"/>
      <c r="J46" s="51">
        <v>12</v>
      </c>
      <c r="K46" s="57">
        <v>182.85000000000002</v>
      </c>
      <c r="L46" s="57">
        <v>260.83</v>
      </c>
      <c r="M46" s="57">
        <v>443.68</v>
      </c>
    </row>
    <row r="47" spans="1:13" ht="15.75" customHeight="1" x14ac:dyDescent="0.25">
      <c r="A47" s="14">
        <v>14</v>
      </c>
      <c r="B47" s="15">
        <v>3.9</v>
      </c>
      <c r="C47" s="58">
        <v>27.84</v>
      </c>
      <c r="D47" s="14" t="s">
        <v>9</v>
      </c>
      <c r="E47" s="14"/>
      <c r="F47" s="14"/>
      <c r="J47" s="51">
        <v>1</v>
      </c>
      <c r="K47" s="57">
        <v>201.41</v>
      </c>
      <c r="L47" s="57">
        <v>233.41</v>
      </c>
      <c r="M47" s="57">
        <v>434.82</v>
      </c>
    </row>
    <row r="48" spans="1:13" ht="15.75" customHeight="1" x14ac:dyDescent="0.25">
      <c r="A48" s="14">
        <v>7</v>
      </c>
      <c r="B48" s="15">
        <v>3.9</v>
      </c>
      <c r="C48" s="58">
        <v>11.95</v>
      </c>
      <c r="D48" s="14" t="s">
        <v>9</v>
      </c>
      <c r="E48" s="14"/>
      <c r="F48" s="14"/>
      <c r="J48" s="51">
        <v>4</v>
      </c>
      <c r="K48" s="57">
        <v>138.84</v>
      </c>
      <c r="L48" s="57">
        <v>272.82</v>
      </c>
      <c r="M48" s="57">
        <v>411.65999999999997</v>
      </c>
    </row>
    <row r="49" spans="1:13" ht="15.75" customHeight="1" x14ac:dyDescent="0.25">
      <c r="A49" s="14">
        <v>24</v>
      </c>
      <c r="B49" s="15">
        <v>4</v>
      </c>
      <c r="C49" s="58">
        <v>58.99</v>
      </c>
      <c r="D49" s="14" t="s">
        <v>9</v>
      </c>
      <c r="E49" s="14"/>
      <c r="F49" s="14"/>
      <c r="J49" s="51">
        <v>47</v>
      </c>
      <c r="K49" s="57">
        <v>284.71999999999997</v>
      </c>
      <c r="L49" s="57">
        <v>95</v>
      </c>
      <c r="M49" s="57">
        <v>379.71999999999997</v>
      </c>
    </row>
    <row r="50" spans="1:13" ht="15.75" customHeight="1" x14ac:dyDescent="0.25">
      <c r="A50" s="14">
        <v>48</v>
      </c>
      <c r="B50" s="15">
        <v>4</v>
      </c>
      <c r="C50" s="58">
        <v>30.62</v>
      </c>
      <c r="D50" s="14" t="s">
        <v>9</v>
      </c>
      <c r="E50" s="14"/>
      <c r="F50" s="14"/>
      <c r="J50" s="51">
        <v>49</v>
      </c>
      <c r="K50" s="57">
        <v>59.39</v>
      </c>
      <c r="L50" s="57">
        <v>207.24</v>
      </c>
      <c r="M50" s="57">
        <v>266.63</v>
      </c>
    </row>
    <row r="51" spans="1:13" ht="15.75" customHeight="1" x14ac:dyDescent="0.25">
      <c r="A51" s="14">
        <v>49</v>
      </c>
      <c r="B51" s="15">
        <v>4</v>
      </c>
      <c r="C51" s="58">
        <v>21.99</v>
      </c>
      <c r="D51" s="14" t="s">
        <v>9</v>
      </c>
      <c r="E51" s="14"/>
      <c r="F51" s="14"/>
      <c r="J51" s="51">
        <v>50</v>
      </c>
      <c r="K51" s="57"/>
      <c r="L51" s="57">
        <v>254.43999999999997</v>
      </c>
      <c r="M51" s="57">
        <v>254.43999999999997</v>
      </c>
    </row>
    <row r="52" spans="1:13" ht="15.75" customHeight="1" x14ac:dyDescent="0.25">
      <c r="A52" s="14">
        <v>25</v>
      </c>
      <c r="B52" s="15">
        <v>4</v>
      </c>
      <c r="C52" s="58">
        <v>18.52</v>
      </c>
      <c r="D52" s="14" t="s">
        <v>9</v>
      </c>
      <c r="E52" s="14"/>
      <c r="F52" s="14"/>
      <c r="J52" s="51">
        <v>45</v>
      </c>
      <c r="K52" s="57">
        <v>118.16</v>
      </c>
      <c r="L52" s="57">
        <v>132.71</v>
      </c>
      <c r="M52" s="57">
        <v>250.87</v>
      </c>
    </row>
    <row r="53" spans="1:13" ht="15.75" customHeight="1" x14ac:dyDescent="0.25">
      <c r="A53" s="14">
        <v>43</v>
      </c>
      <c r="B53" s="15">
        <v>4</v>
      </c>
      <c r="C53" s="58">
        <v>18.28</v>
      </c>
      <c r="D53" s="14" t="s">
        <v>9</v>
      </c>
      <c r="E53" s="14"/>
      <c r="F53" s="14"/>
      <c r="J53" s="51">
        <v>11</v>
      </c>
      <c r="K53" s="57">
        <v>150.74</v>
      </c>
      <c r="L53" s="57">
        <v>99.86</v>
      </c>
      <c r="M53" s="57">
        <v>250.60000000000002</v>
      </c>
    </row>
    <row r="54" spans="1:13" ht="15.75" customHeight="1" x14ac:dyDescent="0.25">
      <c r="A54" s="14">
        <v>18</v>
      </c>
      <c r="B54" s="15">
        <v>4.0199999999999996</v>
      </c>
      <c r="C54" s="58">
        <v>70</v>
      </c>
      <c r="D54" s="14" t="s">
        <v>9</v>
      </c>
      <c r="E54" s="14"/>
      <c r="F54" s="14"/>
      <c r="J54" s="51">
        <v>57</v>
      </c>
      <c r="K54" s="57"/>
      <c r="L54" s="57">
        <v>196.31</v>
      </c>
      <c r="M54" s="57">
        <v>196.31</v>
      </c>
    </row>
    <row r="55" spans="1:13" ht="15.75" customHeight="1" x14ac:dyDescent="0.25">
      <c r="A55" s="14">
        <v>34</v>
      </c>
      <c r="B55" s="15">
        <v>4.03</v>
      </c>
      <c r="C55" s="58">
        <v>44.21</v>
      </c>
      <c r="D55" s="14" t="s">
        <v>8</v>
      </c>
      <c r="E55" s="14"/>
      <c r="F55" s="14"/>
      <c r="J55" s="51">
        <v>53</v>
      </c>
      <c r="K55" s="57">
        <v>70.61</v>
      </c>
      <c r="L55" s="57">
        <v>99.96</v>
      </c>
      <c r="M55" s="57">
        <v>170.57</v>
      </c>
    </row>
    <row r="56" spans="1:13" ht="15.75" customHeight="1" x14ac:dyDescent="0.25">
      <c r="A56" s="14">
        <v>52</v>
      </c>
      <c r="B56" s="15">
        <v>4.03</v>
      </c>
      <c r="C56" s="58">
        <v>25.68</v>
      </c>
      <c r="D56" s="14" t="s">
        <v>9</v>
      </c>
      <c r="E56" s="14"/>
      <c r="F56" s="14"/>
      <c r="J56" s="51">
        <v>52</v>
      </c>
      <c r="K56" s="57">
        <v>55.46</v>
      </c>
      <c r="L56" s="57">
        <v>112.91999999999999</v>
      </c>
      <c r="M56" s="57">
        <v>168.38</v>
      </c>
    </row>
    <row r="57" spans="1:13" ht="15.75" customHeight="1" x14ac:dyDescent="0.25">
      <c r="A57" s="14">
        <v>5</v>
      </c>
      <c r="B57" s="15">
        <v>4.04</v>
      </c>
      <c r="C57" s="58">
        <v>51.67</v>
      </c>
      <c r="D57" s="14" t="s">
        <v>9</v>
      </c>
      <c r="E57" s="14"/>
      <c r="F57" s="14"/>
      <c r="J57" s="51">
        <v>54</v>
      </c>
      <c r="K57" s="57">
        <v>85.91</v>
      </c>
      <c r="L57" s="57">
        <v>67.069999999999993</v>
      </c>
      <c r="M57" s="57">
        <v>152.97999999999999</v>
      </c>
    </row>
    <row r="58" spans="1:13" ht="15.75" customHeight="1" x14ac:dyDescent="0.25">
      <c r="A58" s="14">
        <v>24</v>
      </c>
      <c r="B58" s="15">
        <v>4.05</v>
      </c>
      <c r="C58" s="58">
        <v>47.74</v>
      </c>
      <c r="D58" s="14" t="s">
        <v>8</v>
      </c>
      <c r="E58" s="14"/>
      <c r="F58" s="14"/>
      <c r="J58" s="51">
        <v>67</v>
      </c>
      <c r="K58" s="57">
        <v>108.39</v>
      </c>
      <c r="L58" s="57"/>
      <c r="M58" s="57">
        <v>108.39</v>
      </c>
    </row>
    <row r="59" spans="1:13" ht="15.75" customHeight="1" x14ac:dyDescent="0.25">
      <c r="A59" s="14">
        <v>7</v>
      </c>
      <c r="B59" s="15">
        <v>4.0599999999999996</v>
      </c>
      <c r="C59" s="58">
        <v>21.98</v>
      </c>
      <c r="D59" s="14" t="s">
        <v>9</v>
      </c>
      <c r="E59" s="14"/>
      <c r="F59" s="14"/>
      <c r="J59" s="51">
        <v>64</v>
      </c>
      <c r="K59" s="57"/>
      <c r="L59" s="57">
        <v>89.18</v>
      </c>
      <c r="M59" s="57">
        <v>89.18</v>
      </c>
    </row>
    <row r="60" spans="1:13" ht="15.75" customHeight="1" x14ac:dyDescent="0.25">
      <c r="A60" s="14">
        <v>13</v>
      </c>
      <c r="B60" s="15">
        <v>4.08</v>
      </c>
      <c r="C60" s="58">
        <v>82.05</v>
      </c>
      <c r="D60" s="14" t="s">
        <v>8</v>
      </c>
      <c r="E60" s="14"/>
      <c r="F60" s="14"/>
      <c r="J60" s="51">
        <v>62</v>
      </c>
      <c r="K60" s="57">
        <v>77.400000000000006</v>
      </c>
      <c r="L60" s="57"/>
      <c r="M60" s="57">
        <v>77.400000000000006</v>
      </c>
    </row>
    <row r="61" spans="1:13" ht="15.75" customHeight="1" x14ac:dyDescent="0.25">
      <c r="A61" s="14">
        <v>27</v>
      </c>
      <c r="B61" s="15">
        <v>4.1100000000000003</v>
      </c>
      <c r="C61" s="58">
        <v>36.31</v>
      </c>
      <c r="D61" s="14" t="s">
        <v>9</v>
      </c>
      <c r="E61" s="14"/>
      <c r="F61" s="14"/>
      <c r="J61" s="51">
        <v>55</v>
      </c>
      <c r="K61" s="57"/>
      <c r="L61" s="57">
        <v>72.78</v>
      </c>
      <c r="M61" s="57">
        <v>72.78</v>
      </c>
    </row>
    <row r="62" spans="1:13" ht="15.75" customHeight="1" x14ac:dyDescent="0.25">
      <c r="A62" s="14">
        <v>19</v>
      </c>
      <c r="B62" s="15">
        <v>4.12</v>
      </c>
      <c r="C62" s="58">
        <v>37.869999999999997</v>
      </c>
      <c r="D62" s="14" t="s">
        <v>9</v>
      </c>
      <c r="E62" s="14"/>
      <c r="F62" s="14"/>
      <c r="J62" s="51">
        <v>56</v>
      </c>
      <c r="K62" s="57"/>
      <c r="L62" s="57">
        <v>67.02</v>
      </c>
      <c r="M62" s="57">
        <v>67.02</v>
      </c>
    </row>
    <row r="63" spans="1:13" ht="15.75" customHeight="1" x14ac:dyDescent="0.25">
      <c r="A63" s="14">
        <v>31</v>
      </c>
      <c r="B63" s="15">
        <v>4.13</v>
      </c>
      <c r="C63" s="58">
        <v>26.63</v>
      </c>
      <c r="D63" s="14" t="s">
        <v>8</v>
      </c>
      <c r="E63" s="14"/>
      <c r="F63" s="14"/>
      <c r="J63" s="51">
        <v>74</v>
      </c>
      <c r="K63" s="57"/>
      <c r="L63" s="57">
        <v>55.63</v>
      </c>
      <c r="M63" s="57">
        <v>55.63</v>
      </c>
    </row>
    <row r="64" spans="1:13" ht="15.75" customHeight="1" x14ac:dyDescent="0.25">
      <c r="A64" s="14">
        <v>52</v>
      </c>
      <c r="B64" s="15">
        <v>4.1399999999999997</v>
      </c>
      <c r="C64" s="58">
        <v>36.58</v>
      </c>
      <c r="D64" s="14" t="s">
        <v>9</v>
      </c>
      <c r="E64" s="14"/>
      <c r="F64" s="14"/>
      <c r="J64" s="51">
        <v>58</v>
      </c>
      <c r="K64" s="57">
        <v>53.2</v>
      </c>
      <c r="L64" s="57"/>
      <c r="M64" s="57">
        <v>53.2</v>
      </c>
    </row>
    <row r="65" spans="1:13" ht="15.75" customHeight="1" x14ac:dyDescent="0.25">
      <c r="A65" s="14">
        <v>15</v>
      </c>
      <c r="B65" s="15">
        <v>4.1399999999999997</v>
      </c>
      <c r="C65" s="58">
        <v>35.78</v>
      </c>
      <c r="D65" s="14" t="s">
        <v>8</v>
      </c>
      <c r="E65" s="14"/>
      <c r="F65" s="14"/>
      <c r="J65" s="51">
        <v>60</v>
      </c>
      <c r="K65" s="57">
        <v>46.24</v>
      </c>
      <c r="L65" s="57"/>
      <c r="M65" s="57">
        <v>46.24</v>
      </c>
    </row>
    <row r="66" spans="1:13" ht="15.75" customHeight="1" x14ac:dyDescent="0.25">
      <c r="A66" s="14">
        <v>28</v>
      </c>
      <c r="B66" s="15">
        <v>4.1399999999999997</v>
      </c>
      <c r="C66" s="58">
        <v>22.54</v>
      </c>
      <c r="D66" s="14" t="s">
        <v>9</v>
      </c>
      <c r="E66" s="14"/>
      <c r="F66" s="14"/>
      <c r="J66" s="51">
        <v>59</v>
      </c>
      <c r="K66" s="57">
        <v>42.33</v>
      </c>
      <c r="L66" s="57"/>
      <c r="M66" s="57">
        <v>42.33</v>
      </c>
    </row>
    <row r="67" spans="1:13" ht="15.75" customHeight="1" x14ac:dyDescent="0.25">
      <c r="A67" s="14">
        <v>30</v>
      </c>
      <c r="B67" s="15">
        <v>4.1500000000000004</v>
      </c>
      <c r="C67" s="58">
        <v>60.58</v>
      </c>
      <c r="D67" s="14" t="s">
        <v>8</v>
      </c>
      <c r="E67" s="14"/>
      <c r="F67" s="14"/>
      <c r="J67" s="51">
        <v>63</v>
      </c>
      <c r="K67" s="57">
        <v>39.17</v>
      </c>
      <c r="L67" s="57"/>
      <c r="M67" s="57">
        <v>39.17</v>
      </c>
    </row>
    <row r="68" spans="1:13" ht="15.75" customHeight="1" x14ac:dyDescent="0.25">
      <c r="A68" s="14">
        <v>23</v>
      </c>
      <c r="B68" s="15">
        <v>4.1500000000000004</v>
      </c>
      <c r="C68" s="58">
        <v>49.27</v>
      </c>
      <c r="D68" s="14" t="s">
        <v>8</v>
      </c>
      <c r="E68" s="14"/>
      <c r="F68" s="14"/>
      <c r="J68" s="51">
        <v>68</v>
      </c>
      <c r="K68" s="57"/>
      <c r="L68" s="57">
        <v>23.31</v>
      </c>
      <c r="M68" s="57">
        <v>23.31</v>
      </c>
    </row>
    <row r="69" spans="1:13" ht="15.75" customHeight="1" x14ac:dyDescent="0.25">
      <c r="A69" s="14">
        <v>22</v>
      </c>
      <c r="B69" s="15">
        <v>4.1500000000000004</v>
      </c>
      <c r="C69" s="58">
        <v>45.83</v>
      </c>
      <c r="D69" s="14" t="s">
        <v>8</v>
      </c>
      <c r="E69" s="14"/>
      <c r="F69" s="14"/>
      <c r="J69" s="51" t="s">
        <v>34</v>
      </c>
      <c r="K69" s="57">
        <v>14763.899999999992</v>
      </c>
      <c r="L69" s="57">
        <v>24898.82</v>
      </c>
      <c r="M69" s="57">
        <v>39662.719999999994</v>
      </c>
    </row>
    <row r="70" spans="1:13" ht="15.75" customHeight="1" x14ac:dyDescent="0.25">
      <c r="A70" s="14">
        <v>29</v>
      </c>
      <c r="B70" s="15">
        <v>4.1500000000000004</v>
      </c>
      <c r="C70" s="58">
        <v>20.84</v>
      </c>
      <c r="D70" s="14" t="s">
        <v>9</v>
      </c>
      <c r="E70" s="14"/>
      <c r="F70" s="14"/>
    </row>
    <row r="71" spans="1:13" ht="15.75" customHeight="1" x14ac:dyDescent="0.25">
      <c r="A71" s="14">
        <v>23</v>
      </c>
      <c r="B71" s="15">
        <v>4.17</v>
      </c>
      <c r="C71" s="58">
        <v>39.58</v>
      </c>
      <c r="D71" s="14" t="s">
        <v>8</v>
      </c>
      <c r="E71" s="14"/>
      <c r="F71" s="14"/>
    </row>
    <row r="72" spans="1:13" ht="15.75" customHeight="1" x14ac:dyDescent="0.25">
      <c r="A72" s="14">
        <v>67</v>
      </c>
      <c r="B72" s="15">
        <v>4.17</v>
      </c>
      <c r="C72" s="58">
        <v>38.17</v>
      </c>
      <c r="D72" s="14" t="s">
        <v>8</v>
      </c>
      <c r="E72" s="14"/>
      <c r="F72" s="14"/>
    </row>
    <row r="73" spans="1:13" ht="15.75" customHeight="1" x14ac:dyDescent="0.25">
      <c r="A73" s="14">
        <v>26</v>
      </c>
      <c r="B73" s="15">
        <v>4.18</v>
      </c>
      <c r="C73" s="58">
        <v>8</v>
      </c>
      <c r="D73" s="14" t="s">
        <v>8</v>
      </c>
      <c r="E73" s="14"/>
      <c r="F73" s="14"/>
    </row>
    <row r="74" spans="1:13" ht="15.75" customHeight="1" x14ac:dyDescent="0.25">
      <c r="A74" s="14">
        <v>21</v>
      </c>
      <c r="B74" s="15">
        <v>4.2</v>
      </c>
      <c r="C74" s="58">
        <v>44.29</v>
      </c>
      <c r="D74" s="14" t="s">
        <v>9</v>
      </c>
      <c r="E74" s="14"/>
      <c r="F74" s="14"/>
    </row>
    <row r="75" spans="1:13" ht="15.75" customHeight="1" x14ac:dyDescent="0.25">
      <c r="A75" s="14">
        <v>8</v>
      </c>
      <c r="B75" s="15">
        <v>4.22</v>
      </c>
      <c r="C75" s="58">
        <v>52.93</v>
      </c>
      <c r="D75" s="14" t="s">
        <v>9</v>
      </c>
      <c r="E75" s="14"/>
      <c r="F75" s="14"/>
    </row>
    <row r="76" spans="1:13" ht="15.75" customHeight="1" x14ac:dyDescent="0.25">
      <c r="A76" s="14">
        <v>5</v>
      </c>
      <c r="B76" s="15">
        <v>4.24</v>
      </c>
      <c r="C76" s="58">
        <v>57.95</v>
      </c>
      <c r="D76" s="14" t="s">
        <v>9</v>
      </c>
      <c r="E76" s="14"/>
      <c r="F76" s="14"/>
    </row>
    <row r="77" spans="1:13" ht="15.75" customHeight="1" x14ac:dyDescent="0.25">
      <c r="A77" s="14">
        <v>36</v>
      </c>
      <c r="B77" s="15">
        <v>4.24</v>
      </c>
      <c r="C77" s="58">
        <v>45.75</v>
      </c>
      <c r="D77" s="14" t="s">
        <v>8</v>
      </c>
      <c r="E77" s="14"/>
      <c r="F77" s="14"/>
    </row>
    <row r="78" spans="1:13" ht="15.75" customHeight="1" x14ac:dyDescent="0.25">
      <c r="A78" s="14">
        <v>10</v>
      </c>
      <c r="B78" s="15">
        <v>4.26</v>
      </c>
      <c r="C78" s="58">
        <v>43.55</v>
      </c>
      <c r="D78" s="14" t="s">
        <v>9</v>
      </c>
      <c r="E78" s="14"/>
      <c r="F78" s="14"/>
    </row>
    <row r="79" spans="1:13" ht="15.75" customHeight="1" x14ac:dyDescent="0.25">
      <c r="A79" s="14">
        <v>38</v>
      </c>
      <c r="B79" s="15">
        <v>4.28</v>
      </c>
      <c r="C79" s="58">
        <v>43.18</v>
      </c>
      <c r="D79" s="14" t="s">
        <v>8</v>
      </c>
      <c r="E79" s="14"/>
      <c r="F79" s="14"/>
    </row>
    <row r="80" spans="1:13" ht="15.75" customHeight="1" x14ac:dyDescent="0.25">
      <c r="A80" s="14">
        <v>18</v>
      </c>
      <c r="B80" s="15">
        <v>4.3</v>
      </c>
      <c r="C80" s="58">
        <v>52.51</v>
      </c>
      <c r="D80" s="14" t="s">
        <v>8</v>
      </c>
      <c r="E80" s="14"/>
      <c r="F80" s="14"/>
    </row>
    <row r="81" spans="1:6" ht="15.75" customHeight="1" x14ac:dyDescent="0.25">
      <c r="A81" s="14">
        <v>9</v>
      </c>
      <c r="B81" s="15">
        <v>4.3</v>
      </c>
      <c r="C81" s="58">
        <v>50.74</v>
      </c>
      <c r="D81" s="14" t="s">
        <v>8</v>
      </c>
      <c r="E81" s="14"/>
      <c r="F81" s="14"/>
    </row>
    <row r="82" spans="1:6" ht="15.75" customHeight="1" x14ac:dyDescent="0.25">
      <c r="A82" s="14">
        <v>32</v>
      </c>
      <c r="B82" s="15">
        <v>4.3099999999999996</v>
      </c>
      <c r="C82" s="58">
        <v>33.97</v>
      </c>
      <c r="D82" s="14" t="s">
        <v>9</v>
      </c>
      <c r="E82" s="14"/>
      <c r="F82" s="14"/>
    </row>
    <row r="83" spans="1:6" ht="15.75" customHeight="1" x14ac:dyDescent="0.25">
      <c r="A83" s="14">
        <v>54</v>
      </c>
      <c r="B83" s="15">
        <v>4.32</v>
      </c>
      <c r="C83" s="58">
        <v>41.82</v>
      </c>
      <c r="D83" s="14" t="s">
        <v>8</v>
      </c>
      <c r="E83" s="14"/>
      <c r="F83" s="14"/>
    </row>
    <row r="84" spans="1:6" ht="15.75" customHeight="1" x14ac:dyDescent="0.25">
      <c r="A84" s="14">
        <v>25</v>
      </c>
      <c r="B84" s="15">
        <v>4.32</v>
      </c>
      <c r="C84" s="58">
        <v>31.48</v>
      </c>
      <c r="D84" s="14" t="s">
        <v>9</v>
      </c>
      <c r="E84" s="14"/>
      <c r="F84" s="14"/>
    </row>
    <row r="85" spans="1:6" ht="15.75" customHeight="1" x14ac:dyDescent="0.25">
      <c r="A85" s="14">
        <v>23</v>
      </c>
      <c r="B85" s="15">
        <v>4.34</v>
      </c>
      <c r="C85" s="58">
        <v>50.33</v>
      </c>
      <c r="D85" s="14" t="s">
        <v>8</v>
      </c>
      <c r="E85" s="14"/>
      <c r="F85" s="14"/>
    </row>
    <row r="86" spans="1:6" ht="15.75" customHeight="1" x14ac:dyDescent="0.25">
      <c r="A86" s="14">
        <v>16</v>
      </c>
      <c r="B86" s="15">
        <v>4.34</v>
      </c>
      <c r="C86" s="58">
        <v>35.799999999999997</v>
      </c>
      <c r="D86" s="14" t="s">
        <v>8</v>
      </c>
      <c r="E86" s="14"/>
      <c r="F86" s="14"/>
    </row>
    <row r="87" spans="1:6" ht="15.75" customHeight="1" x14ac:dyDescent="0.25">
      <c r="A87" s="14">
        <v>68</v>
      </c>
      <c r="B87" s="15">
        <v>4.37</v>
      </c>
      <c r="C87" s="58">
        <v>23.31</v>
      </c>
      <c r="D87" s="14" t="s">
        <v>9</v>
      </c>
      <c r="E87" s="14"/>
      <c r="F87" s="14"/>
    </row>
    <row r="88" spans="1:6" ht="15.75" customHeight="1" x14ac:dyDescent="0.25">
      <c r="A88" s="14">
        <v>22</v>
      </c>
      <c r="B88" s="15">
        <v>4.38</v>
      </c>
      <c r="C88" s="58">
        <v>43.95</v>
      </c>
      <c r="D88" s="14" t="s">
        <v>8</v>
      </c>
      <c r="E88" s="14"/>
      <c r="F88" s="14"/>
    </row>
    <row r="89" spans="1:6" ht="15.75" customHeight="1" x14ac:dyDescent="0.25">
      <c r="A89" s="14">
        <v>28</v>
      </c>
      <c r="B89" s="15">
        <v>4.3899999999999997</v>
      </c>
      <c r="C89" s="58">
        <v>35.26</v>
      </c>
      <c r="D89" s="14" t="s">
        <v>9</v>
      </c>
      <c r="E89" s="14"/>
      <c r="F89" s="14"/>
    </row>
    <row r="90" spans="1:6" ht="15.75" customHeight="1" x14ac:dyDescent="0.25">
      <c r="A90" s="14">
        <v>7</v>
      </c>
      <c r="B90" s="15">
        <v>4.3899999999999997</v>
      </c>
      <c r="C90" s="58">
        <v>20.170000000000002</v>
      </c>
      <c r="D90" s="14" t="s">
        <v>9</v>
      </c>
      <c r="E90" s="14"/>
      <c r="F90" s="14"/>
    </row>
    <row r="91" spans="1:6" ht="15.75" customHeight="1" x14ac:dyDescent="0.25">
      <c r="A91" s="14">
        <v>7</v>
      </c>
      <c r="B91" s="15">
        <v>4.4400000000000004</v>
      </c>
      <c r="C91" s="58">
        <v>76.47</v>
      </c>
      <c r="D91" s="14" t="s">
        <v>8</v>
      </c>
      <c r="E91" s="14"/>
      <c r="F91" s="14"/>
    </row>
    <row r="92" spans="1:6" ht="15.75" customHeight="1" x14ac:dyDescent="0.25">
      <c r="A92" s="14">
        <v>9</v>
      </c>
      <c r="B92" s="15">
        <v>4.4400000000000004</v>
      </c>
      <c r="C92" s="58">
        <v>34.409999999999997</v>
      </c>
      <c r="D92" s="14" t="s">
        <v>9</v>
      </c>
      <c r="E92" s="14"/>
      <c r="F92" s="14"/>
    </row>
    <row r="93" spans="1:6" ht="15.75" customHeight="1" x14ac:dyDescent="0.25">
      <c r="A93" s="14">
        <v>40</v>
      </c>
      <c r="B93" s="15">
        <v>4.4400000000000004</v>
      </c>
      <c r="C93" s="58">
        <v>24.63</v>
      </c>
      <c r="D93" s="14" t="s">
        <v>8</v>
      </c>
      <c r="E93" s="14"/>
      <c r="F93" s="14"/>
    </row>
    <row r="94" spans="1:6" ht="15.75" customHeight="1" x14ac:dyDescent="0.25">
      <c r="A94" s="14">
        <v>20</v>
      </c>
      <c r="B94" s="15">
        <v>4.46</v>
      </c>
      <c r="C94" s="58">
        <v>34.049999999999997</v>
      </c>
      <c r="D94" s="14" t="s">
        <v>9</v>
      </c>
      <c r="E94" s="14"/>
      <c r="F94" s="14"/>
    </row>
    <row r="95" spans="1:6" ht="15.75" customHeight="1" x14ac:dyDescent="0.25">
      <c r="A95" s="14">
        <v>9</v>
      </c>
      <c r="B95" s="15">
        <v>4.46</v>
      </c>
      <c r="C95" s="58">
        <v>30.81</v>
      </c>
      <c r="D95" s="14" t="s">
        <v>9</v>
      </c>
      <c r="E95" s="14"/>
      <c r="F95" s="14"/>
    </row>
    <row r="96" spans="1:6" ht="15.75" customHeight="1" x14ac:dyDescent="0.25">
      <c r="A96" s="14">
        <v>24</v>
      </c>
      <c r="B96" s="15">
        <v>4.4800000000000004</v>
      </c>
      <c r="C96" s="58">
        <v>38.24</v>
      </c>
      <c r="D96" s="14" t="s">
        <v>8</v>
      </c>
      <c r="E96" s="14"/>
      <c r="F96" s="14"/>
    </row>
    <row r="97" spans="1:6" ht="15.75" customHeight="1" x14ac:dyDescent="0.25">
      <c r="A97" s="14">
        <v>47</v>
      </c>
      <c r="B97" s="15">
        <v>4.5</v>
      </c>
      <c r="C97" s="58">
        <v>64.67</v>
      </c>
      <c r="D97" s="14" t="s">
        <v>9</v>
      </c>
      <c r="E97" s="14"/>
      <c r="F97" s="14"/>
    </row>
    <row r="98" spans="1:6" ht="15.75" customHeight="1" x14ac:dyDescent="0.25">
      <c r="A98" s="14">
        <v>12</v>
      </c>
      <c r="B98" s="15">
        <v>4.5199999999999996</v>
      </c>
      <c r="C98" s="58">
        <v>45.92</v>
      </c>
      <c r="D98" s="14" t="s">
        <v>8</v>
      </c>
      <c r="E98" s="14"/>
      <c r="F98" s="14"/>
    </row>
    <row r="99" spans="1:6" ht="15.75" customHeight="1" x14ac:dyDescent="0.25">
      <c r="A99" s="14">
        <v>30</v>
      </c>
      <c r="B99" s="15">
        <v>4.54</v>
      </c>
      <c r="C99" s="58">
        <v>42.01</v>
      </c>
      <c r="D99" s="14" t="s">
        <v>8</v>
      </c>
      <c r="E99" s="14"/>
      <c r="F99" s="14"/>
    </row>
    <row r="100" spans="1:6" ht="15.75" customHeight="1" x14ac:dyDescent="0.25">
      <c r="A100" s="14">
        <v>23</v>
      </c>
      <c r="B100" s="15">
        <v>4.54</v>
      </c>
      <c r="C100" s="58">
        <v>21.1</v>
      </c>
      <c r="D100" s="14" t="s">
        <v>8</v>
      </c>
      <c r="E100" s="14"/>
      <c r="F100" s="14"/>
    </row>
    <row r="101" spans="1:6" ht="15.75" customHeight="1" x14ac:dyDescent="0.25">
      <c r="A101" s="14">
        <v>31</v>
      </c>
      <c r="B101" s="15">
        <v>4.55</v>
      </c>
      <c r="C101" s="58">
        <v>44.23</v>
      </c>
      <c r="D101" s="14" t="s">
        <v>8</v>
      </c>
      <c r="E101" s="14"/>
      <c r="F101" s="14"/>
    </row>
    <row r="102" spans="1:6" ht="15.75" customHeight="1" x14ac:dyDescent="0.25">
      <c r="A102" s="14">
        <v>1</v>
      </c>
      <c r="B102" s="15">
        <v>4.5599999999999996</v>
      </c>
      <c r="C102" s="58">
        <v>46.9</v>
      </c>
      <c r="D102" s="14" t="s">
        <v>8</v>
      </c>
      <c r="E102" s="14"/>
      <c r="F102" s="14"/>
    </row>
    <row r="103" spans="1:6" ht="15.75" customHeight="1" x14ac:dyDescent="0.25">
      <c r="A103" s="14">
        <v>25</v>
      </c>
      <c r="B103" s="15">
        <v>4.57</v>
      </c>
      <c r="C103" s="58">
        <v>45.88</v>
      </c>
      <c r="D103" s="14" t="s">
        <v>9</v>
      </c>
      <c r="E103" s="14"/>
      <c r="F103" s="14"/>
    </row>
    <row r="104" spans="1:6" ht="15.75" customHeight="1" x14ac:dyDescent="0.25">
      <c r="A104" s="14">
        <v>38</v>
      </c>
      <c r="B104" s="15">
        <v>4.57</v>
      </c>
      <c r="C104" s="58">
        <v>40.86</v>
      </c>
      <c r="D104" s="14" t="s">
        <v>8</v>
      </c>
      <c r="E104" s="14"/>
      <c r="F104" s="14"/>
    </row>
    <row r="105" spans="1:6" ht="15.75" customHeight="1" x14ac:dyDescent="0.25">
      <c r="A105" s="14">
        <v>45</v>
      </c>
      <c r="B105" s="15">
        <v>4.59</v>
      </c>
      <c r="C105" s="58">
        <v>44.25</v>
      </c>
      <c r="D105" s="14" t="s">
        <v>8</v>
      </c>
      <c r="E105" s="14"/>
      <c r="F105" s="14"/>
    </row>
    <row r="106" spans="1:6" ht="15.75" customHeight="1" x14ac:dyDescent="0.25">
      <c r="A106" s="14">
        <v>23</v>
      </c>
      <c r="B106" s="15">
        <v>4.6100000000000003</v>
      </c>
      <c r="C106" s="58">
        <v>41.34</v>
      </c>
      <c r="D106" s="14" t="s">
        <v>9</v>
      </c>
      <c r="E106" s="14"/>
      <c r="F106" s="14"/>
    </row>
    <row r="107" spans="1:6" ht="15.75" customHeight="1" x14ac:dyDescent="0.25">
      <c r="A107" s="14">
        <v>15</v>
      </c>
      <c r="B107" s="15">
        <v>4.62</v>
      </c>
      <c r="C107" s="58">
        <v>65.36</v>
      </c>
      <c r="D107" s="14" t="s">
        <v>9</v>
      </c>
      <c r="E107" s="14"/>
      <c r="F107" s="14"/>
    </row>
    <row r="108" spans="1:6" ht="15.75" customHeight="1" x14ac:dyDescent="0.25">
      <c r="A108" s="14">
        <v>8</v>
      </c>
      <c r="B108" s="15">
        <v>4.62</v>
      </c>
      <c r="C108" s="58">
        <v>24.61</v>
      </c>
      <c r="D108" s="14" t="s">
        <v>9</v>
      </c>
      <c r="E108" s="14"/>
      <c r="F108" s="14"/>
    </row>
    <row r="109" spans="1:6" ht="15.75" customHeight="1" x14ac:dyDescent="0.25">
      <c r="A109" s="14">
        <v>2</v>
      </c>
      <c r="B109" s="15">
        <v>4.6399999999999997</v>
      </c>
      <c r="C109" s="58">
        <v>51.67</v>
      </c>
      <c r="D109" s="14" t="s">
        <v>8</v>
      </c>
      <c r="E109" s="14"/>
      <c r="F109" s="14"/>
    </row>
    <row r="110" spans="1:6" ht="15.75" customHeight="1" x14ac:dyDescent="0.25">
      <c r="A110" s="14">
        <v>41</v>
      </c>
      <c r="B110" s="15">
        <v>4.6399999999999997</v>
      </c>
      <c r="C110" s="58">
        <v>38.450000000000003</v>
      </c>
      <c r="D110" s="14" t="s">
        <v>9</v>
      </c>
      <c r="E110" s="14"/>
      <c r="F110" s="14"/>
    </row>
    <row r="111" spans="1:6" ht="15.75" customHeight="1" x14ac:dyDescent="0.25">
      <c r="A111" s="14">
        <v>31</v>
      </c>
      <c r="B111" s="15">
        <v>4.6500000000000004</v>
      </c>
      <c r="C111" s="58">
        <v>30.74</v>
      </c>
      <c r="D111" s="14" t="s">
        <v>8</v>
      </c>
      <c r="E111" s="14"/>
      <c r="F111" s="14"/>
    </row>
    <row r="112" spans="1:6" ht="15.75" customHeight="1" x14ac:dyDescent="0.25">
      <c r="A112" s="14">
        <v>24</v>
      </c>
      <c r="B112" s="15">
        <v>4.66</v>
      </c>
      <c r="C112" s="58">
        <v>38.69</v>
      </c>
      <c r="D112" s="14" t="s">
        <v>8</v>
      </c>
      <c r="E112" s="14"/>
      <c r="F112" s="14"/>
    </row>
    <row r="113" spans="1:6" ht="15.75" customHeight="1" x14ac:dyDescent="0.25">
      <c r="A113" s="14">
        <v>24</v>
      </c>
      <c r="B113" s="15">
        <v>4.66</v>
      </c>
      <c r="C113" s="58">
        <v>36.200000000000003</v>
      </c>
      <c r="D113" s="14" t="s">
        <v>9</v>
      </c>
      <c r="E113" s="14"/>
      <c r="F113" s="14"/>
    </row>
    <row r="114" spans="1:6" ht="15.75" customHeight="1" x14ac:dyDescent="0.25">
      <c r="A114" s="14">
        <v>24</v>
      </c>
      <c r="B114" s="15">
        <v>4.67</v>
      </c>
      <c r="C114" s="58">
        <v>57.53</v>
      </c>
      <c r="D114" s="14" t="s">
        <v>8</v>
      </c>
      <c r="E114" s="14"/>
      <c r="F114" s="14"/>
    </row>
    <row r="115" spans="1:6" ht="15.75" customHeight="1" x14ac:dyDescent="0.25">
      <c r="A115" s="14">
        <v>43</v>
      </c>
      <c r="B115" s="15">
        <v>4.68</v>
      </c>
      <c r="C115" s="58">
        <v>50.07</v>
      </c>
      <c r="D115" s="14" t="s">
        <v>8</v>
      </c>
      <c r="E115" s="14"/>
      <c r="F115" s="14"/>
    </row>
    <row r="116" spans="1:6" ht="15.75" customHeight="1" x14ac:dyDescent="0.25">
      <c r="A116" s="14">
        <v>35</v>
      </c>
      <c r="B116" s="15">
        <v>4.68</v>
      </c>
      <c r="C116" s="58">
        <v>49.81</v>
      </c>
      <c r="D116" s="14" t="s">
        <v>8</v>
      </c>
      <c r="E116" s="14"/>
      <c r="F116" s="14"/>
    </row>
    <row r="117" spans="1:6" ht="15.75" customHeight="1" x14ac:dyDescent="0.25">
      <c r="A117" s="14">
        <v>6</v>
      </c>
      <c r="B117" s="15">
        <v>4.68</v>
      </c>
      <c r="C117" s="58">
        <v>9.23</v>
      </c>
      <c r="D117" s="14" t="s">
        <v>8</v>
      </c>
      <c r="E117" s="14"/>
      <c r="F117" s="14"/>
    </row>
    <row r="118" spans="1:6" ht="15.75" customHeight="1" x14ac:dyDescent="0.25">
      <c r="A118" s="14">
        <v>48</v>
      </c>
      <c r="B118" s="15">
        <v>4.6900000000000004</v>
      </c>
      <c r="C118" s="58">
        <v>61.81</v>
      </c>
      <c r="D118" s="14" t="s">
        <v>9</v>
      </c>
      <c r="E118" s="14"/>
      <c r="F118" s="14"/>
    </row>
    <row r="119" spans="1:6" ht="15.75" customHeight="1" x14ac:dyDescent="0.25">
      <c r="A119" s="14">
        <v>60</v>
      </c>
      <c r="B119" s="15">
        <v>4.6900000000000004</v>
      </c>
      <c r="C119" s="58">
        <v>46.24</v>
      </c>
      <c r="D119" s="14" t="s">
        <v>8</v>
      </c>
      <c r="E119" s="14"/>
      <c r="F119" s="14"/>
    </row>
    <row r="120" spans="1:6" ht="15.75" customHeight="1" x14ac:dyDescent="0.25">
      <c r="A120" s="14">
        <v>27</v>
      </c>
      <c r="B120" s="15">
        <v>4.7</v>
      </c>
      <c r="C120" s="58">
        <v>44.37</v>
      </c>
      <c r="D120" s="14" t="s">
        <v>8</v>
      </c>
      <c r="E120" s="14"/>
      <c r="F120" s="14"/>
    </row>
    <row r="121" spans="1:6" ht="15.75" customHeight="1" x14ac:dyDescent="0.25">
      <c r="A121" s="14">
        <v>38</v>
      </c>
      <c r="B121" s="15">
        <v>4.75</v>
      </c>
      <c r="C121" s="58">
        <v>51</v>
      </c>
      <c r="D121" s="14" t="s">
        <v>8</v>
      </c>
      <c r="E121" s="14"/>
      <c r="F121" s="14"/>
    </row>
    <row r="122" spans="1:6" ht="15.75" customHeight="1" x14ac:dyDescent="0.25">
      <c r="A122" s="14">
        <v>26</v>
      </c>
      <c r="B122" s="15">
        <v>4.76</v>
      </c>
      <c r="C122" s="58">
        <v>58</v>
      </c>
      <c r="D122" s="14" t="s">
        <v>8</v>
      </c>
      <c r="E122" s="14"/>
      <c r="F122" s="14"/>
    </row>
    <row r="123" spans="1:6" ht="15.75" customHeight="1" x14ac:dyDescent="0.25">
      <c r="A123" s="14">
        <v>13</v>
      </c>
      <c r="B123" s="15">
        <v>4.7699999999999996</v>
      </c>
      <c r="C123" s="58">
        <v>43.81</v>
      </c>
      <c r="D123" s="14" t="s">
        <v>9</v>
      </c>
      <c r="E123" s="14"/>
      <c r="F123" s="14"/>
    </row>
    <row r="124" spans="1:6" ht="15.75" customHeight="1" x14ac:dyDescent="0.25">
      <c r="A124" s="14">
        <v>20</v>
      </c>
      <c r="B124" s="15">
        <v>4.78</v>
      </c>
      <c r="C124" s="58">
        <v>76.27</v>
      </c>
      <c r="D124" s="14" t="s">
        <v>9</v>
      </c>
      <c r="E124" s="14"/>
      <c r="F124" s="14"/>
    </row>
    <row r="125" spans="1:6" ht="15.75" customHeight="1" x14ac:dyDescent="0.25">
      <c r="A125" s="14">
        <v>25</v>
      </c>
      <c r="B125" s="15">
        <v>4.78</v>
      </c>
      <c r="C125" s="58">
        <v>67.87</v>
      </c>
      <c r="D125" s="14" t="s">
        <v>9</v>
      </c>
      <c r="E125" s="14"/>
      <c r="F125" s="14"/>
    </row>
    <row r="126" spans="1:6" ht="15.75" customHeight="1" x14ac:dyDescent="0.25">
      <c r="A126" s="14">
        <v>6</v>
      </c>
      <c r="B126" s="15">
        <v>4.78</v>
      </c>
      <c r="C126" s="58">
        <v>62.92</v>
      </c>
      <c r="D126" s="14" t="s">
        <v>8</v>
      </c>
      <c r="E126" s="14"/>
      <c r="F126" s="14"/>
    </row>
    <row r="127" spans="1:6" ht="15.75" customHeight="1" x14ac:dyDescent="0.25">
      <c r="A127" s="14">
        <v>10</v>
      </c>
      <c r="B127" s="15">
        <v>4.8</v>
      </c>
      <c r="C127" s="58">
        <v>29.99</v>
      </c>
      <c r="D127" s="14" t="s">
        <v>9</v>
      </c>
      <c r="E127" s="14"/>
      <c r="F127" s="14"/>
    </row>
    <row r="128" spans="1:6" ht="15.75" customHeight="1" x14ac:dyDescent="0.25">
      <c r="A128" s="14">
        <v>31</v>
      </c>
      <c r="B128" s="15">
        <v>4.83</v>
      </c>
      <c r="C128" s="58">
        <v>39.82</v>
      </c>
      <c r="D128" s="14" t="s">
        <v>9</v>
      </c>
      <c r="E128" s="14"/>
      <c r="F128" s="14"/>
    </row>
    <row r="129" spans="1:6" ht="15.75" customHeight="1" x14ac:dyDescent="0.25">
      <c r="A129" s="14">
        <v>27</v>
      </c>
      <c r="B129" s="15">
        <v>4.84</v>
      </c>
      <c r="C129" s="58">
        <v>45.31</v>
      </c>
      <c r="D129" s="14" t="s">
        <v>8</v>
      </c>
      <c r="E129" s="14"/>
      <c r="F129" s="14"/>
    </row>
    <row r="130" spans="1:6" ht="15.75" customHeight="1" x14ac:dyDescent="0.25">
      <c r="A130" s="14">
        <v>1</v>
      </c>
      <c r="B130" s="15">
        <v>4.84</v>
      </c>
      <c r="C130" s="58">
        <v>37.46</v>
      </c>
      <c r="D130" s="14" t="s">
        <v>8</v>
      </c>
      <c r="E130" s="14"/>
      <c r="F130" s="14"/>
    </row>
    <row r="131" spans="1:6" ht="15.75" customHeight="1" x14ac:dyDescent="0.25">
      <c r="A131" s="14">
        <v>29</v>
      </c>
      <c r="B131" s="15">
        <v>4.8499999999999996</v>
      </c>
      <c r="C131" s="58">
        <v>59.93</v>
      </c>
      <c r="D131" s="14" t="s">
        <v>9</v>
      </c>
      <c r="E131" s="14"/>
      <c r="F131" s="14"/>
    </row>
    <row r="132" spans="1:6" ht="15.75" customHeight="1" x14ac:dyDescent="0.25">
      <c r="A132" s="14">
        <v>8</v>
      </c>
      <c r="B132" s="15">
        <v>4.87</v>
      </c>
      <c r="C132" s="58">
        <v>53.52</v>
      </c>
      <c r="D132" s="14" t="s">
        <v>9</v>
      </c>
      <c r="E132" s="14"/>
      <c r="F132" s="14"/>
    </row>
    <row r="133" spans="1:6" ht="15.75" customHeight="1" x14ac:dyDescent="0.25">
      <c r="A133" s="14">
        <v>25</v>
      </c>
      <c r="B133" s="15">
        <v>4.88</v>
      </c>
      <c r="C133" s="58">
        <v>62.64</v>
      </c>
      <c r="D133" s="14" t="s">
        <v>9</v>
      </c>
      <c r="E133" s="14"/>
      <c r="F133" s="14"/>
    </row>
    <row r="134" spans="1:6" ht="15.75" customHeight="1" x14ac:dyDescent="0.25">
      <c r="A134" s="14">
        <v>35</v>
      </c>
      <c r="B134" s="15">
        <v>4.88</v>
      </c>
      <c r="C134" s="58">
        <v>46.33</v>
      </c>
      <c r="D134" s="14" t="s">
        <v>8</v>
      </c>
      <c r="E134" s="14"/>
      <c r="F134" s="14"/>
    </row>
    <row r="135" spans="1:6" ht="15.75" customHeight="1" x14ac:dyDescent="0.25">
      <c r="A135" s="14">
        <v>38</v>
      </c>
      <c r="B135" s="15">
        <v>4.92</v>
      </c>
      <c r="C135" s="58">
        <v>38.86</v>
      </c>
      <c r="D135" s="14" t="s">
        <v>9</v>
      </c>
      <c r="E135" s="14"/>
      <c r="F135" s="14"/>
    </row>
    <row r="136" spans="1:6" ht="15.75" customHeight="1" x14ac:dyDescent="0.25">
      <c r="A136" s="14">
        <v>34</v>
      </c>
      <c r="B136" s="15">
        <v>4.93</v>
      </c>
      <c r="C136" s="58">
        <v>65.16</v>
      </c>
      <c r="D136" s="14" t="s">
        <v>8</v>
      </c>
      <c r="E136" s="14"/>
      <c r="F136" s="14"/>
    </row>
    <row r="137" spans="1:6" ht="15.75" customHeight="1" x14ac:dyDescent="0.25">
      <c r="A137" s="14">
        <v>30</v>
      </c>
      <c r="B137" s="15">
        <v>4.93</v>
      </c>
      <c r="C137" s="58">
        <v>43.97</v>
      </c>
      <c r="D137" s="14" t="s">
        <v>8</v>
      </c>
      <c r="E137" s="14"/>
      <c r="F137" s="14"/>
    </row>
    <row r="138" spans="1:6" ht="15.75" customHeight="1" x14ac:dyDescent="0.25">
      <c r="A138" s="14">
        <v>15</v>
      </c>
      <c r="B138" s="15">
        <v>4.96</v>
      </c>
      <c r="C138" s="58">
        <v>76.37</v>
      </c>
      <c r="D138" s="14" t="s">
        <v>9</v>
      </c>
      <c r="E138" s="14"/>
      <c r="F138" s="14"/>
    </row>
    <row r="139" spans="1:6" ht="15.75" customHeight="1" x14ac:dyDescent="0.25">
      <c r="A139" s="14">
        <v>51</v>
      </c>
      <c r="B139" s="15">
        <v>4.96</v>
      </c>
      <c r="C139" s="58">
        <v>35.53</v>
      </c>
      <c r="D139" s="14" t="s">
        <v>9</v>
      </c>
      <c r="E139" s="14"/>
      <c r="F139" s="14"/>
    </row>
    <row r="140" spans="1:6" ht="15.75" customHeight="1" x14ac:dyDescent="0.25">
      <c r="A140" s="14">
        <v>25</v>
      </c>
      <c r="B140" s="15">
        <v>4.99</v>
      </c>
      <c r="C140" s="58">
        <v>42.91</v>
      </c>
      <c r="D140" s="14" t="s">
        <v>9</v>
      </c>
      <c r="E140" s="14"/>
      <c r="F140" s="14"/>
    </row>
    <row r="141" spans="1:6" ht="15.75" customHeight="1" x14ac:dyDescent="0.25">
      <c r="A141" s="14">
        <v>43</v>
      </c>
      <c r="B141" s="15">
        <v>5.03</v>
      </c>
      <c r="C141" s="58">
        <v>41.59</v>
      </c>
      <c r="D141" s="14" t="s">
        <v>8</v>
      </c>
      <c r="E141" s="14"/>
      <c r="F141" s="14"/>
    </row>
    <row r="142" spans="1:6" ht="15.75" customHeight="1" x14ac:dyDescent="0.25">
      <c r="A142" s="14">
        <v>47</v>
      </c>
      <c r="B142" s="15">
        <v>5.03</v>
      </c>
      <c r="C142" s="58">
        <v>31.21</v>
      </c>
      <c r="D142" s="14" t="s">
        <v>8</v>
      </c>
      <c r="E142" s="14"/>
      <c r="F142" s="14"/>
    </row>
    <row r="143" spans="1:6" ht="15.75" customHeight="1" x14ac:dyDescent="0.25">
      <c r="A143" s="14">
        <v>35</v>
      </c>
      <c r="B143" s="15">
        <v>5.05</v>
      </c>
      <c r="C143" s="58">
        <v>74.09</v>
      </c>
      <c r="D143" s="14" t="s">
        <v>9</v>
      </c>
      <c r="E143" s="14"/>
      <c r="F143" s="14"/>
    </row>
    <row r="144" spans="1:6" ht="15.75" customHeight="1" x14ac:dyDescent="0.25">
      <c r="A144" s="14">
        <v>27</v>
      </c>
      <c r="B144" s="15">
        <v>5.05</v>
      </c>
      <c r="C144" s="58">
        <v>73.69</v>
      </c>
      <c r="D144" s="14" t="s">
        <v>9</v>
      </c>
      <c r="E144" s="14"/>
      <c r="F144" s="14"/>
    </row>
    <row r="145" spans="1:6" ht="15.75" customHeight="1" x14ac:dyDescent="0.25">
      <c r="A145" s="14">
        <v>22</v>
      </c>
      <c r="B145" s="15">
        <v>5.05</v>
      </c>
      <c r="C145" s="58">
        <v>45.65</v>
      </c>
      <c r="D145" s="14" t="s">
        <v>9</v>
      </c>
      <c r="E145" s="14"/>
      <c r="F145" s="14"/>
    </row>
    <row r="146" spans="1:6" ht="15.75" customHeight="1" x14ac:dyDescent="0.25">
      <c r="A146" s="14">
        <v>24</v>
      </c>
      <c r="B146" s="15">
        <v>5.0599999999999996</v>
      </c>
      <c r="C146" s="58">
        <v>96.03</v>
      </c>
      <c r="D146" s="14" t="s">
        <v>8</v>
      </c>
      <c r="E146" s="14"/>
      <c r="F146" s="14"/>
    </row>
    <row r="147" spans="1:6" ht="15.75" customHeight="1" x14ac:dyDescent="0.25">
      <c r="A147" s="14">
        <v>20</v>
      </c>
      <c r="B147" s="15">
        <v>5.0999999999999996</v>
      </c>
      <c r="C147" s="58">
        <v>58.17</v>
      </c>
      <c r="D147" s="14" t="s">
        <v>9</v>
      </c>
      <c r="E147" s="14"/>
      <c r="F147" s="14"/>
    </row>
    <row r="148" spans="1:6" ht="15.75" customHeight="1" x14ac:dyDescent="0.25">
      <c r="A148" s="14">
        <v>2</v>
      </c>
      <c r="B148" s="15">
        <v>5.0999999999999996</v>
      </c>
      <c r="C148" s="58">
        <v>51</v>
      </c>
      <c r="D148" s="14" t="s">
        <v>9</v>
      </c>
      <c r="E148" s="14"/>
      <c r="F148" s="14"/>
    </row>
    <row r="149" spans="1:6" ht="15.75" customHeight="1" x14ac:dyDescent="0.25">
      <c r="A149" s="14">
        <v>19</v>
      </c>
      <c r="B149" s="15">
        <v>5.0999999999999996</v>
      </c>
      <c r="C149" s="58">
        <v>47.22</v>
      </c>
      <c r="D149" s="14" t="s">
        <v>8</v>
      </c>
      <c r="E149" s="14"/>
      <c r="F149" s="14"/>
    </row>
    <row r="150" spans="1:6" ht="15.75" customHeight="1" x14ac:dyDescent="0.25">
      <c r="A150" s="14">
        <v>3</v>
      </c>
      <c r="B150" s="15">
        <v>5.0999999999999996</v>
      </c>
      <c r="C150" s="58">
        <v>38.1</v>
      </c>
      <c r="D150" s="14" t="s">
        <v>9</v>
      </c>
      <c r="E150" s="14"/>
      <c r="F150" s="14"/>
    </row>
    <row r="151" spans="1:6" ht="15.75" customHeight="1" x14ac:dyDescent="0.25">
      <c r="A151" s="14">
        <v>4</v>
      </c>
      <c r="B151" s="15">
        <v>5.12</v>
      </c>
      <c r="C151" s="58">
        <v>63.38</v>
      </c>
      <c r="D151" s="14" t="s">
        <v>8</v>
      </c>
      <c r="E151" s="14"/>
      <c r="F151" s="14"/>
    </row>
    <row r="152" spans="1:6" ht="15.75" customHeight="1" x14ac:dyDescent="0.25">
      <c r="A152" s="14">
        <v>41</v>
      </c>
      <c r="B152" s="15">
        <v>5.14</v>
      </c>
      <c r="C152" s="58">
        <v>46.8</v>
      </c>
      <c r="D152" s="14" t="s">
        <v>8</v>
      </c>
      <c r="E152" s="14"/>
      <c r="F152" s="14"/>
    </row>
    <row r="153" spans="1:6" ht="15.75" customHeight="1" x14ac:dyDescent="0.25">
      <c r="A153" s="14">
        <v>14</v>
      </c>
      <c r="B153" s="15">
        <v>5.15</v>
      </c>
      <c r="C153" s="58">
        <v>52.61</v>
      </c>
      <c r="D153" s="14" t="s">
        <v>8</v>
      </c>
      <c r="E153" s="14"/>
      <c r="F153" s="14"/>
    </row>
    <row r="154" spans="1:6" ht="15.75" customHeight="1" x14ac:dyDescent="0.25">
      <c r="A154" s="14">
        <v>34</v>
      </c>
      <c r="B154" s="15">
        <v>5.15</v>
      </c>
      <c r="C154" s="58">
        <v>51.35</v>
      </c>
      <c r="D154" s="14" t="s">
        <v>8</v>
      </c>
      <c r="E154" s="14"/>
      <c r="F154" s="14"/>
    </row>
    <row r="155" spans="1:6" ht="15.75" customHeight="1" x14ac:dyDescent="0.25">
      <c r="A155" s="14">
        <v>37</v>
      </c>
      <c r="B155" s="15">
        <v>5.15</v>
      </c>
      <c r="C155" s="58">
        <v>36.72</v>
      </c>
      <c r="D155" s="14" t="s">
        <v>9</v>
      </c>
      <c r="E155" s="14"/>
      <c r="F155" s="14"/>
    </row>
    <row r="156" spans="1:6" ht="15.75" customHeight="1" x14ac:dyDescent="0.25">
      <c r="A156" s="14">
        <v>24</v>
      </c>
      <c r="B156" s="15">
        <v>5.18</v>
      </c>
      <c r="C156" s="58">
        <v>59.17</v>
      </c>
      <c r="D156" s="14" t="s">
        <v>9</v>
      </c>
      <c r="E156" s="14"/>
      <c r="F156" s="14"/>
    </row>
    <row r="157" spans="1:6" ht="15.75" customHeight="1" x14ac:dyDescent="0.25">
      <c r="A157" s="14">
        <v>36</v>
      </c>
      <c r="B157" s="15">
        <v>5.2</v>
      </c>
      <c r="C157" s="58">
        <v>39.99</v>
      </c>
      <c r="D157" s="14" t="s">
        <v>8</v>
      </c>
      <c r="E157" s="14"/>
      <c r="F157" s="14"/>
    </row>
    <row r="158" spans="1:6" ht="15.75" customHeight="1" x14ac:dyDescent="0.25">
      <c r="A158" s="14">
        <v>13</v>
      </c>
      <c r="B158" s="15">
        <v>5.2</v>
      </c>
      <c r="C158" s="58">
        <v>37.39</v>
      </c>
      <c r="D158" s="14" t="s">
        <v>9</v>
      </c>
      <c r="E158" s="14"/>
      <c r="F158" s="14"/>
    </row>
    <row r="159" spans="1:6" ht="15.75" customHeight="1" x14ac:dyDescent="0.25">
      <c r="A159" s="14">
        <v>50</v>
      </c>
      <c r="B159" s="15">
        <v>5.21</v>
      </c>
      <c r="C159" s="58">
        <v>92.88</v>
      </c>
      <c r="D159" s="14" t="s">
        <v>9</v>
      </c>
      <c r="E159" s="14"/>
      <c r="F159" s="14"/>
    </row>
    <row r="160" spans="1:6" ht="15.75" customHeight="1" x14ac:dyDescent="0.25">
      <c r="A160" s="14">
        <v>16</v>
      </c>
      <c r="B160" s="15">
        <v>5.22</v>
      </c>
      <c r="C160" s="58">
        <v>48.26</v>
      </c>
      <c r="D160" s="14" t="s">
        <v>8</v>
      </c>
      <c r="E160" s="14"/>
      <c r="F160" s="14"/>
    </row>
    <row r="161" spans="1:6" ht="15.75" customHeight="1" x14ac:dyDescent="0.25">
      <c r="A161" s="14">
        <v>27</v>
      </c>
      <c r="B161" s="15">
        <v>5.22</v>
      </c>
      <c r="C161" s="58">
        <v>28.76</v>
      </c>
      <c r="D161" s="14" t="s">
        <v>9</v>
      </c>
      <c r="E161" s="14"/>
      <c r="F161" s="14"/>
    </row>
    <row r="162" spans="1:6" ht="15.75" customHeight="1" x14ac:dyDescent="0.25">
      <c r="A162" s="14">
        <v>47</v>
      </c>
      <c r="B162" s="15">
        <v>5.23</v>
      </c>
      <c r="C162" s="58">
        <v>40.19</v>
      </c>
      <c r="D162" s="14" t="s">
        <v>8</v>
      </c>
      <c r="E162" s="14"/>
      <c r="F162" s="14"/>
    </row>
    <row r="163" spans="1:6" ht="15.75" customHeight="1" x14ac:dyDescent="0.25">
      <c r="A163" s="14">
        <v>17</v>
      </c>
      <c r="B163" s="15">
        <v>5.24</v>
      </c>
      <c r="C163" s="58">
        <v>42.46</v>
      </c>
      <c r="D163" s="14" t="s">
        <v>9</v>
      </c>
      <c r="E163" s="14"/>
      <c r="F163" s="14"/>
    </row>
    <row r="164" spans="1:6" ht="15.75" customHeight="1" x14ac:dyDescent="0.25">
      <c r="A164" s="14">
        <v>51</v>
      </c>
      <c r="B164" s="15">
        <v>5.25</v>
      </c>
      <c r="C164" s="58">
        <v>44.82</v>
      </c>
      <c r="D164" s="14" t="s">
        <v>8</v>
      </c>
      <c r="E164" s="14"/>
      <c r="F164" s="14"/>
    </row>
    <row r="165" spans="1:6" ht="15.75" customHeight="1" x14ac:dyDescent="0.25">
      <c r="A165" s="14">
        <v>28</v>
      </c>
      <c r="B165" s="15">
        <v>5.29</v>
      </c>
      <c r="C165" s="58">
        <v>46.77</v>
      </c>
      <c r="D165" s="14" t="s">
        <v>8</v>
      </c>
      <c r="E165" s="14"/>
      <c r="F165" s="14"/>
    </row>
    <row r="166" spans="1:6" ht="15.75" customHeight="1" x14ac:dyDescent="0.25">
      <c r="A166" s="14">
        <v>26</v>
      </c>
      <c r="B166" s="15">
        <v>5.3</v>
      </c>
      <c r="C166" s="58">
        <v>30.67</v>
      </c>
      <c r="D166" s="14" t="s">
        <v>9</v>
      </c>
      <c r="E166" s="14"/>
      <c r="F166" s="14"/>
    </row>
    <row r="167" spans="1:6" ht="15.75" customHeight="1" x14ac:dyDescent="0.25">
      <c r="A167" s="14">
        <v>26</v>
      </c>
      <c r="B167" s="15">
        <v>5.31</v>
      </c>
      <c r="C167" s="58">
        <v>52.1</v>
      </c>
      <c r="D167" s="14" t="s">
        <v>9</v>
      </c>
      <c r="E167" s="14"/>
      <c r="F167" s="14"/>
    </row>
    <row r="168" spans="1:6" ht="15.75" customHeight="1" x14ac:dyDescent="0.25">
      <c r="A168" s="14">
        <v>67</v>
      </c>
      <c r="B168" s="15">
        <v>5.34</v>
      </c>
      <c r="C168" s="58">
        <v>70.22</v>
      </c>
      <c r="D168" s="14" t="s">
        <v>8</v>
      </c>
      <c r="E168" s="14"/>
      <c r="F168" s="14"/>
    </row>
    <row r="169" spans="1:6" ht="15.75" customHeight="1" x14ac:dyDescent="0.25">
      <c r="A169" s="14">
        <v>28</v>
      </c>
      <c r="B169" s="15">
        <v>5.34</v>
      </c>
      <c r="C169" s="58">
        <v>51.69</v>
      </c>
      <c r="D169" s="14" t="s">
        <v>8</v>
      </c>
      <c r="E169" s="14"/>
      <c r="F169" s="14"/>
    </row>
    <row r="170" spans="1:6" ht="15.75" customHeight="1" x14ac:dyDescent="0.25">
      <c r="A170" s="14">
        <v>15</v>
      </c>
      <c r="B170" s="15">
        <v>5.35</v>
      </c>
      <c r="C170" s="58">
        <v>43.32</v>
      </c>
      <c r="D170" s="14" t="s">
        <v>9</v>
      </c>
      <c r="E170" s="14"/>
      <c r="F170" s="14"/>
    </row>
    <row r="171" spans="1:6" ht="15.75" customHeight="1" x14ac:dyDescent="0.25">
      <c r="A171" s="14">
        <v>17</v>
      </c>
      <c r="B171" s="15">
        <v>5.35</v>
      </c>
      <c r="C171" s="58">
        <v>40.880000000000003</v>
      </c>
      <c r="D171" s="14" t="s">
        <v>8</v>
      </c>
      <c r="E171" s="14"/>
      <c r="F171" s="14"/>
    </row>
    <row r="172" spans="1:6" ht="15.75" customHeight="1" x14ac:dyDescent="0.25">
      <c r="A172" s="14">
        <v>7</v>
      </c>
      <c r="B172" s="15">
        <v>5.36</v>
      </c>
      <c r="C172" s="58">
        <v>66.86</v>
      </c>
      <c r="D172" s="14" t="s">
        <v>8</v>
      </c>
      <c r="E172" s="14"/>
      <c r="F172" s="14"/>
    </row>
    <row r="173" spans="1:6" ht="15.75" customHeight="1" x14ac:dyDescent="0.25">
      <c r="A173" s="14">
        <v>58</v>
      </c>
      <c r="B173" s="15">
        <v>5.36</v>
      </c>
      <c r="C173" s="58">
        <v>53.2</v>
      </c>
      <c r="D173" s="14" t="s">
        <v>8</v>
      </c>
      <c r="E173" s="14"/>
      <c r="F173" s="14"/>
    </row>
    <row r="174" spans="1:6" ht="15.75" customHeight="1" x14ac:dyDescent="0.25">
      <c r="A174" s="14">
        <v>34</v>
      </c>
      <c r="B174" s="15">
        <v>5.38</v>
      </c>
      <c r="C174" s="58">
        <v>50.46</v>
      </c>
      <c r="D174" s="14" t="s">
        <v>8</v>
      </c>
      <c r="E174" s="14"/>
      <c r="F174" s="14"/>
    </row>
    <row r="175" spans="1:6" ht="15.75" customHeight="1" x14ac:dyDescent="0.25">
      <c r="A175" s="14">
        <v>39</v>
      </c>
      <c r="B175" s="15">
        <v>5.38</v>
      </c>
      <c r="C175" s="58">
        <v>46.56</v>
      </c>
      <c r="D175" s="14" t="s">
        <v>8</v>
      </c>
      <c r="E175" s="14"/>
      <c r="F175" s="14"/>
    </row>
    <row r="176" spans="1:6" ht="15.75" customHeight="1" x14ac:dyDescent="0.25">
      <c r="A176" s="14">
        <v>28</v>
      </c>
      <c r="B176" s="15">
        <v>5.39</v>
      </c>
      <c r="C176" s="58">
        <v>44.63</v>
      </c>
      <c r="D176" s="14" t="s">
        <v>8</v>
      </c>
      <c r="E176" s="14"/>
      <c r="F176" s="14"/>
    </row>
    <row r="177" spans="1:6" ht="15.75" customHeight="1" x14ac:dyDescent="0.25">
      <c r="A177" s="14">
        <v>23</v>
      </c>
      <c r="B177" s="15">
        <v>5.41</v>
      </c>
      <c r="C177" s="58">
        <v>44.6</v>
      </c>
      <c r="D177" s="14" t="s">
        <v>8</v>
      </c>
      <c r="E177" s="14"/>
      <c r="F177" s="14"/>
    </row>
    <row r="178" spans="1:6" ht="15.75" customHeight="1" x14ac:dyDescent="0.25">
      <c r="A178" s="14">
        <v>13</v>
      </c>
      <c r="B178" s="15">
        <v>5.42</v>
      </c>
      <c r="C178" s="58">
        <v>35.58</v>
      </c>
      <c r="D178" s="14" t="s">
        <v>9</v>
      </c>
      <c r="E178" s="14"/>
      <c r="F178" s="14"/>
    </row>
    <row r="179" spans="1:6" ht="15.75" customHeight="1" x14ac:dyDescent="0.25">
      <c r="A179" s="14">
        <v>5</v>
      </c>
      <c r="B179" s="15">
        <v>5.43</v>
      </c>
      <c r="C179" s="58">
        <v>39.72</v>
      </c>
      <c r="D179" s="14" t="s">
        <v>8</v>
      </c>
      <c r="E179" s="14"/>
      <c r="F179" s="14"/>
    </row>
    <row r="180" spans="1:6" ht="15.75" customHeight="1" x14ac:dyDescent="0.25">
      <c r="A180" s="14">
        <v>3</v>
      </c>
      <c r="B180" s="15">
        <v>5.44</v>
      </c>
      <c r="C180" s="58">
        <v>47.04</v>
      </c>
      <c r="D180" s="14" t="s">
        <v>9</v>
      </c>
      <c r="E180" s="14"/>
      <c r="F180" s="14"/>
    </row>
    <row r="181" spans="1:6" ht="15.75" customHeight="1" x14ac:dyDescent="0.25">
      <c r="A181" s="14">
        <v>46</v>
      </c>
      <c r="B181" s="15">
        <v>5.45</v>
      </c>
      <c r="C181" s="58">
        <v>53</v>
      </c>
      <c r="D181" s="14" t="s">
        <v>9</v>
      </c>
      <c r="E181" s="14"/>
      <c r="F181" s="14"/>
    </row>
    <row r="182" spans="1:6" ht="15.75" customHeight="1" x14ac:dyDescent="0.25">
      <c r="A182" s="14">
        <v>1</v>
      </c>
      <c r="B182" s="15">
        <v>5.45</v>
      </c>
      <c r="C182" s="58">
        <v>52.45</v>
      </c>
      <c r="D182" s="14" t="s">
        <v>8</v>
      </c>
      <c r="E182" s="14"/>
      <c r="F182" s="14"/>
    </row>
    <row r="183" spans="1:6" ht="15.75" customHeight="1" x14ac:dyDescent="0.25">
      <c r="A183" s="14">
        <v>11</v>
      </c>
      <c r="B183" s="15">
        <v>5.46</v>
      </c>
      <c r="C183" s="58">
        <v>47.61</v>
      </c>
      <c r="D183" s="14" t="s">
        <v>8</v>
      </c>
      <c r="E183" s="14"/>
      <c r="F183" s="14"/>
    </row>
    <row r="184" spans="1:6" ht="15.75" customHeight="1" x14ac:dyDescent="0.25">
      <c r="A184" s="14">
        <v>10</v>
      </c>
      <c r="B184" s="15">
        <v>5.46</v>
      </c>
      <c r="C184" s="58">
        <v>21.46</v>
      </c>
      <c r="D184" s="14" t="s">
        <v>8</v>
      </c>
      <c r="E184" s="14"/>
      <c r="F184" s="14"/>
    </row>
    <row r="185" spans="1:6" ht="15.75" customHeight="1" x14ac:dyDescent="0.25">
      <c r="A185" s="14">
        <v>39</v>
      </c>
      <c r="B185" s="15">
        <v>5.47</v>
      </c>
      <c r="C185" s="58">
        <v>49.61</v>
      </c>
      <c r="D185" s="14" t="s">
        <v>8</v>
      </c>
      <c r="E185" s="14"/>
      <c r="F185" s="14"/>
    </row>
    <row r="186" spans="1:6" ht="15.75" customHeight="1" x14ac:dyDescent="0.25">
      <c r="A186" s="14">
        <v>9</v>
      </c>
      <c r="B186" s="15">
        <v>5.47</v>
      </c>
      <c r="C186" s="58">
        <v>45.76</v>
      </c>
      <c r="D186" s="14" t="s">
        <v>8</v>
      </c>
      <c r="E186" s="14"/>
      <c r="F186" s="14"/>
    </row>
    <row r="187" spans="1:6" ht="15.75" customHeight="1" x14ac:dyDescent="0.25">
      <c r="A187" s="14">
        <v>29</v>
      </c>
      <c r="B187" s="15">
        <v>5.47</v>
      </c>
      <c r="C187" s="58">
        <v>44.4</v>
      </c>
      <c r="D187" s="14" t="s">
        <v>8</v>
      </c>
      <c r="E187" s="14"/>
      <c r="F187" s="14"/>
    </row>
    <row r="188" spans="1:6" ht="15.75" customHeight="1" x14ac:dyDescent="0.25">
      <c r="A188" s="14">
        <v>25</v>
      </c>
      <c r="B188" s="15">
        <v>5.48</v>
      </c>
      <c r="C188" s="58">
        <v>34.47</v>
      </c>
      <c r="D188" s="14" t="s">
        <v>9</v>
      </c>
      <c r="E188" s="14"/>
      <c r="F188" s="14"/>
    </row>
    <row r="189" spans="1:6" ht="15.75" customHeight="1" x14ac:dyDescent="0.25">
      <c r="A189" s="14">
        <v>40</v>
      </c>
      <c r="B189" s="15">
        <v>5.5</v>
      </c>
      <c r="C189" s="58">
        <v>70.36</v>
      </c>
      <c r="D189" s="14" t="s">
        <v>9</v>
      </c>
      <c r="E189" s="14"/>
      <c r="F189" s="14"/>
    </row>
    <row r="190" spans="1:6" ht="15.75" customHeight="1" x14ac:dyDescent="0.25">
      <c r="A190" s="14">
        <v>38</v>
      </c>
      <c r="B190" s="15">
        <v>5.5</v>
      </c>
      <c r="C190" s="58">
        <v>42.01</v>
      </c>
      <c r="D190" s="14" t="s">
        <v>8</v>
      </c>
      <c r="E190" s="14"/>
      <c r="F190" s="14"/>
    </row>
    <row r="191" spans="1:6" ht="15.75" customHeight="1" x14ac:dyDescent="0.25">
      <c r="A191" s="14">
        <v>48</v>
      </c>
      <c r="B191" s="15">
        <v>5.53</v>
      </c>
      <c r="C191" s="58">
        <v>61.26</v>
      </c>
      <c r="D191" s="14" t="s">
        <v>9</v>
      </c>
      <c r="E191" s="14"/>
      <c r="F191" s="14"/>
    </row>
    <row r="192" spans="1:6" ht="15.75" customHeight="1" x14ac:dyDescent="0.25">
      <c r="A192" s="14">
        <v>43</v>
      </c>
      <c r="B192" s="15">
        <v>5.56</v>
      </c>
      <c r="C192" s="58">
        <v>43.2</v>
      </c>
      <c r="D192" s="14" t="s">
        <v>8</v>
      </c>
      <c r="E192" s="14"/>
      <c r="F192" s="14"/>
    </row>
    <row r="193" spans="1:6" ht="15.75" customHeight="1" x14ac:dyDescent="0.25">
      <c r="A193" s="14">
        <v>35</v>
      </c>
      <c r="B193" s="15">
        <v>5.58</v>
      </c>
      <c r="C193" s="58">
        <v>74.44</v>
      </c>
      <c r="D193" s="14" t="s">
        <v>9</v>
      </c>
      <c r="E193" s="14"/>
      <c r="F193" s="14"/>
    </row>
    <row r="194" spans="1:6" ht="15.75" customHeight="1" x14ac:dyDescent="0.25">
      <c r="A194" s="14">
        <v>52</v>
      </c>
      <c r="B194" s="15">
        <v>5.58</v>
      </c>
      <c r="C194" s="58">
        <v>50.66</v>
      </c>
      <c r="D194" s="14" t="s">
        <v>9</v>
      </c>
      <c r="E194" s="14"/>
      <c r="F194" s="14"/>
    </row>
    <row r="195" spans="1:6" ht="15.75" customHeight="1" x14ac:dyDescent="0.25">
      <c r="A195" s="14">
        <v>50</v>
      </c>
      <c r="B195" s="15">
        <v>5.58</v>
      </c>
      <c r="C195" s="58">
        <v>24.34</v>
      </c>
      <c r="D195" s="14" t="s">
        <v>9</v>
      </c>
      <c r="E195" s="14"/>
      <c r="F195" s="14"/>
    </row>
    <row r="196" spans="1:6" ht="15.75" customHeight="1" x14ac:dyDescent="0.25">
      <c r="A196" s="14">
        <v>15</v>
      </c>
      <c r="B196" s="15">
        <v>5.59</v>
      </c>
      <c r="C196" s="58">
        <v>68.12</v>
      </c>
      <c r="D196" s="14" t="s">
        <v>9</v>
      </c>
      <c r="E196" s="14"/>
      <c r="F196" s="14"/>
    </row>
    <row r="197" spans="1:6" ht="15.75" customHeight="1" x14ac:dyDescent="0.25">
      <c r="A197" s="14">
        <v>34</v>
      </c>
      <c r="B197" s="15">
        <v>5.59</v>
      </c>
      <c r="C197" s="58">
        <v>58.41</v>
      </c>
      <c r="D197" s="14" t="s">
        <v>9</v>
      </c>
      <c r="E197" s="14"/>
      <c r="F197" s="14"/>
    </row>
    <row r="198" spans="1:6" ht="15.75" customHeight="1" x14ac:dyDescent="0.25">
      <c r="A198" s="14">
        <v>12</v>
      </c>
      <c r="B198" s="15">
        <v>5.61</v>
      </c>
      <c r="C198" s="58">
        <v>83.08</v>
      </c>
      <c r="D198" s="14" t="s">
        <v>9</v>
      </c>
      <c r="E198" s="14"/>
      <c r="F198" s="14"/>
    </row>
    <row r="199" spans="1:6" ht="15.75" customHeight="1" x14ac:dyDescent="0.25">
      <c r="A199" s="14">
        <v>49</v>
      </c>
      <c r="B199" s="15">
        <v>5.61</v>
      </c>
      <c r="C199" s="58">
        <v>71.069999999999993</v>
      </c>
      <c r="D199" s="14" t="s">
        <v>9</v>
      </c>
      <c r="E199" s="14"/>
      <c r="F199" s="14"/>
    </row>
    <row r="200" spans="1:6" ht="15.75" customHeight="1" x14ac:dyDescent="0.25">
      <c r="A200" s="14">
        <v>24</v>
      </c>
      <c r="B200" s="15">
        <v>5.61</v>
      </c>
      <c r="C200" s="58">
        <v>63.19</v>
      </c>
      <c r="D200" s="14" t="s">
        <v>9</v>
      </c>
      <c r="E200" s="14"/>
      <c r="F200" s="14"/>
    </row>
    <row r="201" spans="1:6" ht="15.75" customHeight="1" x14ac:dyDescent="0.25">
      <c r="A201" s="14">
        <v>42</v>
      </c>
      <c r="B201" s="15">
        <v>5.61</v>
      </c>
      <c r="C201" s="58">
        <v>47.22</v>
      </c>
      <c r="D201" s="14" t="s">
        <v>9</v>
      </c>
      <c r="E201" s="14"/>
      <c r="F201" s="14"/>
    </row>
    <row r="202" spans="1:6" ht="15.75" customHeight="1" x14ac:dyDescent="0.25">
      <c r="A202" s="14">
        <v>3</v>
      </c>
      <c r="B202" s="15">
        <v>5.63</v>
      </c>
      <c r="C202" s="58">
        <v>51.14</v>
      </c>
      <c r="D202" s="14" t="s">
        <v>8</v>
      </c>
      <c r="E202" s="14"/>
      <c r="F202" s="14"/>
    </row>
    <row r="203" spans="1:6" ht="15.75" customHeight="1" x14ac:dyDescent="0.25">
      <c r="A203" s="14">
        <v>8</v>
      </c>
      <c r="B203" s="15">
        <v>5.64</v>
      </c>
      <c r="C203" s="58">
        <v>46.17</v>
      </c>
      <c r="D203" s="14" t="s">
        <v>8</v>
      </c>
      <c r="E203" s="14"/>
      <c r="F203" s="14"/>
    </row>
    <row r="204" spans="1:6" ht="15.75" customHeight="1" x14ac:dyDescent="0.25">
      <c r="A204" s="14">
        <v>24</v>
      </c>
      <c r="B204" s="15">
        <v>5.65</v>
      </c>
      <c r="C204" s="58">
        <v>65.02</v>
      </c>
      <c r="D204" s="14" t="s">
        <v>9</v>
      </c>
      <c r="E204" s="14"/>
      <c r="F204" s="14"/>
    </row>
    <row r="205" spans="1:6" ht="15.75" customHeight="1" x14ac:dyDescent="0.25">
      <c r="A205" s="14">
        <v>10</v>
      </c>
      <c r="B205" s="15">
        <v>5.65</v>
      </c>
      <c r="C205" s="58">
        <v>20.309999999999999</v>
      </c>
      <c r="D205" s="14" t="s">
        <v>9</v>
      </c>
      <c r="E205" s="14"/>
      <c r="F205" s="14"/>
    </row>
    <row r="206" spans="1:6" ht="15.75" customHeight="1" x14ac:dyDescent="0.25">
      <c r="A206" s="14">
        <v>7</v>
      </c>
      <c r="B206" s="15">
        <v>5.66</v>
      </c>
      <c r="C206" s="58">
        <v>56.39</v>
      </c>
      <c r="D206" s="14" t="s">
        <v>9</v>
      </c>
      <c r="E206" s="14"/>
      <c r="F206" s="14"/>
    </row>
    <row r="207" spans="1:6" ht="15.75" customHeight="1" x14ac:dyDescent="0.25">
      <c r="A207" s="14">
        <v>18</v>
      </c>
      <c r="B207" s="15">
        <v>5.66</v>
      </c>
      <c r="C207" s="58">
        <v>48.8</v>
      </c>
      <c r="D207" s="14" t="s">
        <v>8</v>
      </c>
      <c r="E207" s="14"/>
      <c r="F207" s="14"/>
    </row>
    <row r="208" spans="1:6" ht="15.75" customHeight="1" x14ac:dyDescent="0.25">
      <c r="A208" s="14">
        <v>44</v>
      </c>
      <c r="B208" s="15">
        <v>5.67</v>
      </c>
      <c r="C208" s="58">
        <v>77.45</v>
      </c>
      <c r="D208" s="14" t="s">
        <v>9</v>
      </c>
      <c r="E208" s="14"/>
      <c r="F208" s="14"/>
    </row>
    <row r="209" spans="1:6" ht="15.75" customHeight="1" x14ac:dyDescent="0.25">
      <c r="A209" s="14">
        <v>13</v>
      </c>
      <c r="B209" s="15">
        <v>5.67</v>
      </c>
      <c r="C209" s="58">
        <v>61.28</v>
      </c>
      <c r="D209" s="14" t="s">
        <v>9</v>
      </c>
      <c r="E209" s="14"/>
      <c r="F209" s="14"/>
    </row>
    <row r="210" spans="1:6" ht="15.75" customHeight="1" x14ac:dyDescent="0.25">
      <c r="A210" s="14">
        <v>9</v>
      </c>
      <c r="B210" s="15">
        <v>5.67</v>
      </c>
      <c r="C210" s="58">
        <v>50.27</v>
      </c>
      <c r="D210" s="14" t="s">
        <v>8</v>
      </c>
      <c r="E210" s="14"/>
      <c r="F210" s="14"/>
    </row>
    <row r="211" spans="1:6" ht="15.75" customHeight="1" x14ac:dyDescent="0.25">
      <c r="A211" s="14">
        <v>9</v>
      </c>
      <c r="B211" s="15">
        <v>5.68</v>
      </c>
      <c r="C211" s="58">
        <v>47.5</v>
      </c>
      <c r="D211" s="14" t="s">
        <v>9</v>
      </c>
      <c r="E211" s="14"/>
      <c r="F211" s="14"/>
    </row>
    <row r="212" spans="1:6" ht="15.75" customHeight="1" x14ac:dyDescent="0.25">
      <c r="A212" s="14">
        <v>22</v>
      </c>
      <c r="B212" s="15">
        <v>5.7</v>
      </c>
      <c r="C212" s="58">
        <v>49.24</v>
      </c>
      <c r="D212" s="14" t="s">
        <v>8</v>
      </c>
      <c r="E212" s="14"/>
      <c r="F212" s="14"/>
    </row>
    <row r="213" spans="1:6" ht="15.75" customHeight="1" x14ac:dyDescent="0.25">
      <c r="A213" s="14">
        <v>5</v>
      </c>
      <c r="B213" s="15">
        <v>5.73</v>
      </c>
      <c r="C213" s="58">
        <v>71.98</v>
      </c>
      <c r="D213" s="14" t="s">
        <v>9</v>
      </c>
      <c r="E213" s="14"/>
      <c r="F213" s="14"/>
    </row>
    <row r="214" spans="1:6" ht="15.75" customHeight="1" x14ac:dyDescent="0.25">
      <c r="A214" s="14">
        <v>41</v>
      </c>
      <c r="B214" s="15">
        <v>5.74</v>
      </c>
      <c r="C214" s="58">
        <v>77.319999999999993</v>
      </c>
      <c r="D214" s="14" t="s">
        <v>9</v>
      </c>
      <c r="E214" s="14"/>
      <c r="F214" s="14"/>
    </row>
    <row r="215" spans="1:6" ht="15.75" customHeight="1" x14ac:dyDescent="0.25">
      <c r="A215" s="14">
        <v>1</v>
      </c>
      <c r="B215" s="15">
        <v>5.76</v>
      </c>
      <c r="C215" s="58">
        <v>36.57</v>
      </c>
      <c r="D215" s="14" t="s">
        <v>9</v>
      </c>
      <c r="E215" s="14"/>
      <c r="F215" s="14"/>
    </row>
    <row r="216" spans="1:6" ht="15.75" customHeight="1" x14ac:dyDescent="0.25">
      <c r="A216" s="14">
        <v>36</v>
      </c>
      <c r="B216" s="15">
        <v>5.77</v>
      </c>
      <c r="C216" s="58">
        <v>46.76</v>
      </c>
      <c r="D216" s="14" t="s">
        <v>8</v>
      </c>
      <c r="E216" s="14"/>
      <c r="F216" s="14"/>
    </row>
    <row r="217" spans="1:6" ht="15.75" customHeight="1" x14ac:dyDescent="0.25">
      <c r="A217" s="14">
        <v>26</v>
      </c>
      <c r="B217" s="15">
        <v>5.78</v>
      </c>
      <c r="C217" s="58">
        <v>87.4</v>
      </c>
      <c r="D217" s="14" t="s">
        <v>8</v>
      </c>
      <c r="E217" s="14"/>
      <c r="F217" s="14"/>
    </row>
    <row r="218" spans="1:6" ht="15.75" customHeight="1" x14ac:dyDescent="0.25">
      <c r="A218" s="14">
        <v>22</v>
      </c>
      <c r="B218" s="15">
        <v>5.79</v>
      </c>
      <c r="C218" s="58">
        <v>67.23</v>
      </c>
      <c r="D218" s="14" t="s">
        <v>9</v>
      </c>
      <c r="E218" s="14"/>
      <c r="F218" s="14"/>
    </row>
    <row r="219" spans="1:6" ht="15.75" customHeight="1" x14ac:dyDescent="0.25">
      <c r="A219" s="14">
        <v>14</v>
      </c>
      <c r="B219" s="15">
        <v>5.79</v>
      </c>
      <c r="C219" s="58">
        <v>43.41</v>
      </c>
      <c r="D219" s="14" t="s">
        <v>9</v>
      </c>
      <c r="E219" s="14"/>
      <c r="F219" s="14"/>
    </row>
    <row r="220" spans="1:6" ht="15.75" customHeight="1" x14ac:dyDescent="0.25">
      <c r="A220" s="14">
        <v>4</v>
      </c>
      <c r="B220" s="15">
        <v>5.83</v>
      </c>
      <c r="C220" s="58">
        <v>56.59</v>
      </c>
      <c r="D220" s="14" t="s">
        <v>9</v>
      </c>
      <c r="E220" s="14"/>
      <c r="F220" s="14"/>
    </row>
    <row r="221" spans="1:6" ht="15.75" customHeight="1" x14ac:dyDescent="0.25">
      <c r="A221" s="14">
        <v>7</v>
      </c>
      <c r="B221" s="15">
        <v>5.84</v>
      </c>
      <c r="C221" s="58">
        <v>40.15</v>
      </c>
      <c r="D221" s="14" t="s">
        <v>9</v>
      </c>
      <c r="E221" s="14"/>
      <c r="F221" s="14"/>
    </row>
    <row r="222" spans="1:6" ht="15.75" customHeight="1" x14ac:dyDescent="0.25">
      <c r="A222" s="14">
        <v>57</v>
      </c>
      <c r="B222" s="15">
        <v>5.85</v>
      </c>
      <c r="C222" s="58">
        <v>28.16</v>
      </c>
      <c r="D222" s="14" t="s">
        <v>9</v>
      </c>
      <c r="E222" s="14"/>
      <c r="F222" s="14"/>
    </row>
    <row r="223" spans="1:6" ht="15.75" customHeight="1" x14ac:dyDescent="0.25">
      <c r="A223" s="14">
        <v>48</v>
      </c>
      <c r="B223" s="15">
        <v>5.86</v>
      </c>
      <c r="C223" s="58">
        <v>77.989999999999995</v>
      </c>
      <c r="D223" s="14" t="s">
        <v>9</v>
      </c>
      <c r="E223" s="14"/>
      <c r="F223" s="14"/>
    </row>
    <row r="224" spans="1:6" ht="15.75" customHeight="1" x14ac:dyDescent="0.25">
      <c r="A224" s="14">
        <v>36</v>
      </c>
      <c r="B224" s="15">
        <v>5.86</v>
      </c>
      <c r="C224" s="58">
        <v>50.94</v>
      </c>
      <c r="D224" s="14" t="s">
        <v>9</v>
      </c>
      <c r="E224" s="14"/>
      <c r="F224" s="14"/>
    </row>
    <row r="225" spans="1:6" ht="15.75" customHeight="1" x14ac:dyDescent="0.25">
      <c r="A225" s="14">
        <v>31</v>
      </c>
      <c r="B225" s="15">
        <v>5.87</v>
      </c>
      <c r="C225" s="58">
        <v>57.43</v>
      </c>
      <c r="D225" s="14" t="s">
        <v>8</v>
      </c>
      <c r="E225" s="14"/>
      <c r="F225" s="14"/>
    </row>
    <row r="226" spans="1:6" ht="15.75" customHeight="1" x14ac:dyDescent="0.25">
      <c r="A226" s="14">
        <v>20</v>
      </c>
      <c r="B226" s="15">
        <v>5.88</v>
      </c>
      <c r="C226" s="58">
        <v>63.1</v>
      </c>
      <c r="D226" s="14" t="s">
        <v>9</v>
      </c>
      <c r="E226" s="14"/>
      <c r="F226" s="14"/>
    </row>
    <row r="227" spans="1:6" ht="15.75" customHeight="1" x14ac:dyDescent="0.25">
      <c r="A227" s="14">
        <v>29</v>
      </c>
      <c r="B227" s="15">
        <v>5.88</v>
      </c>
      <c r="C227" s="58">
        <v>51.43</v>
      </c>
      <c r="D227" s="14" t="s">
        <v>9</v>
      </c>
      <c r="E227" s="14"/>
      <c r="F227" s="14"/>
    </row>
    <row r="228" spans="1:6" ht="15.75" customHeight="1" x14ac:dyDescent="0.25">
      <c r="A228" s="14">
        <v>16</v>
      </c>
      <c r="B228" s="15">
        <v>5.91</v>
      </c>
      <c r="C228" s="58">
        <v>56.36</v>
      </c>
      <c r="D228" s="14" t="s">
        <v>8</v>
      </c>
      <c r="E228" s="14"/>
      <c r="F228" s="14"/>
    </row>
    <row r="229" spans="1:6" ht="15.75" customHeight="1" x14ac:dyDescent="0.25">
      <c r="A229" s="14">
        <v>33</v>
      </c>
      <c r="B229" s="15">
        <v>5.91</v>
      </c>
      <c r="C229" s="58">
        <v>54.85</v>
      </c>
      <c r="D229" s="14" t="s">
        <v>9</v>
      </c>
      <c r="E229" s="14"/>
      <c r="F229" s="14"/>
    </row>
    <row r="230" spans="1:6" ht="15.75" customHeight="1" x14ac:dyDescent="0.25">
      <c r="A230" s="14">
        <v>20</v>
      </c>
      <c r="B230" s="15">
        <v>5.93</v>
      </c>
      <c r="C230" s="58">
        <v>53.41</v>
      </c>
      <c r="D230" s="14" t="s">
        <v>8</v>
      </c>
      <c r="E230" s="14"/>
      <c r="F230" s="14"/>
    </row>
    <row r="231" spans="1:6" ht="15.75" customHeight="1" x14ac:dyDescent="0.25">
      <c r="A231" s="14">
        <v>10</v>
      </c>
      <c r="B231" s="15">
        <v>5.93</v>
      </c>
      <c r="C231" s="58">
        <v>44.95</v>
      </c>
      <c r="D231" s="14" t="s">
        <v>9</v>
      </c>
      <c r="E231" s="14"/>
      <c r="F231" s="14"/>
    </row>
    <row r="232" spans="1:6" ht="15.75" customHeight="1" x14ac:dyDescent="0.25">
      <c r="A232" s="14">
        <v>48</v>
      </c>
      <c r="B232" s="15">
        <v>5.93</v>
      </c>
      <c r="C232" s="58">
        <v>10.96</v>
      </c>
      <c r="D232" s="14" t="s">
        <v>9</v>
      </c>
      <c r="E232" s="14"/>
      <c r="F232" s="14"/>
    </row>
    <row r="233" spans="1:6" ht="15.75" customHeight="1" x14ac:dyDescent="0.25">
      <c r="A233" s="14">
        <v>25</v>
      </c>
      <c r="B233" s="15">
        <v>5.94</v>
      </c>
      <c r="C233" s="58">
        <v>100.07</v>
      </c>
      <c r="D233" s="14" t="s">
        <v>9</v>
      </c>
      <c r="E233" s="14"/>
      <c r="F233" s="14"/>
    </row>
    <row r="234" spans="1:6" ht="15.75" customHeight="1" x14ac:dyDescent="0.25">
      <c r="A234" s="14">
        <v>57</v>
      </c>
      <c r="B234" s="15">
        <v>5.96</v>
      </c>
      <c r="C234" s="58">
        <v>84.26</v>
      </c>
      <c r="D234" s="14" t="s">
        <v>9</v>
      </c>
      <c r="E234" s="14"/>
      <c r="F234" s="14"/>
    </row>
    <row r="235" spans="1:6" ht="15.75" customHeight="1" x14ac:dyDescent="0.25">
      <c r="A235" s="14">
        <v>2</v>
      </c>
      <c r="B235" s="15">
        <v>5.96</v>
      </c>
      <c r="C235" s="58">
        <v>80.31</v>
      </c>
      <c r="D235" s="14" t="s">
        <v>9</v>
      </c>
      <c r="E235" s="14"/>
      <c r="F235" s="14"/>
    </row>
    <row r="236" spans="1:6" ht="15.75" customHeight="1" x14ac:dyDescent="0.25">
      <c r="A236" s="14">
        <v>29</v>
      </c>
      <c r="B236" s="15">
        <v>5.96</v>
      </c>
      <c r="C236" s="58">
        <v>55.1</v>
      </c>
      <c r="D236" s="14" t="s">
        <v>8</v>
      </c>
      <c r="E236" s="14"/>
      <c r="F236" s="14"/>
    </row>
    <row r="237" spans="1:6" ht="15.75" customHeight="1" x14ac:dyDescent="0.25">
      <c r="A237" s="14">
        <v>25</v>
      </c>
      <c r="B237" s="15">
        <v>5.97</v>
      </c>
      <c r="C237" s="58">
        <v>49.48</v>
      </c>
      <c r="D237" s="14" t="s">
        <v>9</v>
      </c>
      <c r="E237" s="14"/>
      <c r="F237" s="14"/>
    </row>
    <row r="238" spans="1:6" ht="15.75" customHeight="1" x14ac:dyDescent="0.25">
      <c r="A238" s="14">
        <v>36</v>
      </c>
      <c r="B238" s="15">
        <v>5.98</v>
      </c>
      <c r="C238" s="58">
        <v>56.8</v>
      </c>
      <c r="D238" s="14" t="s">
        <v>9</v>
      </c>
      <c r="E238" s="14"/>
      <c r="F238" s="14"/>
    </row>
    <row r="239" spans="1:6" ht="15.75" customHeight="1" x14ac:dyDescent="0.25">
      <c r="A239" s="14">
        <v>17</v>
      </c>
      <c r="B239" s="15">
        <v>5.99</v>
      </c>
      <c r="C239" s="58">
        <v>80.13</v>
      </c>
      <c r="D239" s="14" t="s">
        <v>9</v>
      </c>
      <c r="E239" s="14"/>
      <c r="F239" s="14"/>
    </row>
    <row r="240" spans="1:6" ht="15.75" customHeight="1" x14ac:dyDescent="0.25">
      <c r="A240" s="14">
        <v>38</v>
      </c>
      <c r="B240" s="15">
        <v>6.02</v>
      </c>
      <c r="C240" s="58">
        <v>45.03</v>
      </c>
      <c r="D240" s="14" t="s">
        <v>9</v>
      </c>
      <c r="E240" s="14"/>
      <c r="F240" s="14"/>
    </row>
    <row r="241" spans="1:6" ht="15.75" customHeight="1" x14ac:dyDescent="0.25">
      <c r="A241" s="14">
        <v>2</v>
      </c>
      <c r="B241" s="15">
        <v>6.03</v>
      </c>
      <c r="C241" s="58">
        <v>66.72</v>
      </c>
      <c r="D241" s="14" t="s">
        <v>9</v>
      </c>
      <c r="E241" s="14"/>
      <c r="F241" s="14"/>
    </row>
    <row r="242" spans="1:6" ht="15.75" customHeight="1" x14ac:dyDescent="0.25">
      <c r="A242" s="14">
        <v>17</v>
      </c>
      <c r="B242" s="15">
        <v>6.05</v>
      </c>
      <c r="C242" s="58">
        <v>67.25</v>
      </c>
      <c r="D242" s="14" t="s">
        <v>9</v>
      </c>
      <c r="E242" s="14"/>
      <c r="F242" s="14"/>
    </row>
    <row r="243" spans="1:6" ht="15.75" customHeight="1" x14ac:dyDescent="0.25">
      <c r="A243" s="14">
        <v>17</v>
      </c>
      <c r="B243" s="15">
        <v>6.06</v>
      </c>
      <c r="C243" s="58">
        <v>55.41</v>
      </c>
      <c r="D243" s="14" t="s">
        <v>8</v>
      </c>
      <c r="E243" s="14"/>
      <c r="F243" s="14"/>
    </row>
    <row r="244" spans="1:6" ht="15.75" customHeight="1" x14ac:dyDescent="0.25">
      <c r="A244" s="14">
        <v>45</v>
      </c>
      <c r="B244" s="15">
        <v>6.06</v>
      </c>
      <c r="C244" s="58">
        <v>54.51</v>
      </c>
      <c r="D244" s="14" t="s">
        <v>9</v>
      </c>
      <c r="E244" s="14"/>
      <c r="F244" s="14"/>
    </row>
    <row r="245" spans="1:6" ht="15.75" customHeight="1" x14ac:dyDescent="0.25">
      <c r="A245" s="14">
        <v>18</v>
      </c>
      <c r="B245" s="15">
        <v>6.06</v>
      </c>
      <c r="C245" s="58">
        <v>52.84</v>
      </c>
      <c r="D245" s="14" t="s">
        <v>8</v>
      </c>
      <c r="E245" s="14"/>
      <c r="F245" s="14"/>
    </row>
    <row r="246" spans="1:6" ht="15.75" customHeight="1" x14ac:dyDescent="0.25">
      <c r="A246" s="14">
        <v>48</v>
      </c>
      <c r="B246" s="15">
        <v>6.09</v>
      </c>
      <c r="C246" s="58">
        <v>65.209999999999994</v>
      </c>
      <c r="D246" s="14" t="s">
        <v>8</v>
      </c>
      <c r="E246" s="14"/>
      <c r="F246" s="14"/>
    </row>
    <row r="247" spans="1:6" ht="15.75" customHeight="1" x14ac:dyDescent="0.25">
      <c r="A247" s="14">
        <v>22</v>
      </c>
      <c r="B247" s="15">
        <v>6.09</v>
      </c>
      <c r="C247" s="58">
        <v>55.31</v>
      </c>
      <c r="D247" s="14" t="s">
        <v>9</v>
      </c>
      <c r="E247" s="14"/>
      <c r="F247" s="14"/>
    </row>
    <row r="248" spans="1:6" ht="15.75" customHeight="1" x14ac:dyDescent="0.25">
      <c r="A248" s="14">
        <v>34</v>
      </c>
      <c r="B248" s="15">
        <v>6.12</v>
      </c>
      <c r="C248" s="58">
        <v>49.54</v>
      </c>
      <c r="D248" s="14" t="s">
        <v>8</v>
      </c>
      <c r="E248" s="14"/>
      <c r="F248" s="14"/>
    </row>
    <row r="249" spans="1:6" ht="15.75" customHeight="1" x14ac:dyDescent="0.25">
      <c r="A249" s="14">
        <v>30</v>
      </c>
      <c r="B249" s="15">
        <v>6.15</v>
      </c>
      <c r="C249" s="58">
        <v>48.99</v>
      </c>
      <c r="D249" s="14" t="s">
        <v>9</v>
      </c>
      <c r="E249" s="14"/>
      <c r="F249" s="14"/>
    </row>
    <row r="250" spans="1:6" ht="15.75" customHeight="1" x14ac:dyDescent="0.25">
      <c r="A250" s="14">
        <v>25</v>
      </c>
      <c r="B250" s="15">
        <v>6.16</v>
      </c>
      <c r="C250" s="58">
        <v>71.33</v>
      </c>
      <c r="D250" s="14" t="s">
        <v>8</v>
      </c>
      <c r="E250" s="14"/>
      <c r="F250" s="14"/>
    </row>
    <row r="251" spans="1:6" ht="15.75" customHeight="1" x14ac:dyDescent="0.25">
      <c r="A251" s="14">
        <v>13</v>
      </c>
      <c r="B251" s="15">
        <v>6.16</v>
      </c>
      <c r="C251" s="58">
        <v>70.489999999999995</v>
      </c>
      <c r="D251" s="14" t="s">
        <v>8</v>
      </c>
      <c r="E251" s="14"/>
      <c r="F251" s="14"/>
    </row>
    <row r="252" spans="1:6" ht="15.75" customHeight="1" x14ac:dyDescent="0.25">
      <c r="A252" s="14">
        <v>21</v>
      </c>
      <c r="B252" s="15">
        <v>6.16</v>
      </c>
      <c r="C252" s="58">
        <v>43.75</v>
      </c>
      <c r="D252" s="14" t="s">
        <v>9</v>
      </c>
      <c r="E252" s="14"/>
      <c r="F252" s="14"/>
    </row>
    <row r="253" spans="1:6" ht="15.75" customHeight="1" x14ac:dyDescent="0.25">
      <c r="A253" s="14">
        <v>52</v>
      </c>
      <c r="B253" s="15">
        <v>6.17</v>
      </c>
      <c r="C253" s="58">
        <v>55.46</v>
      </c>
      <c r="D253" s="14" t="s">
        <v>8</v>
      </c>
      <c r="E253" s="14"/>
      <c r="F253" s="14"/>
    </row>
    <row r="254" spans="1:6" ht="15.75" customHeight="1" x14ac:dyDescent="0.25">
      <c r="A254" s="14">
        <v>50</v>
      </c>
      <c r="B254" s="15">
        <v>6.18</v>
      </c>
      <c r="C254" s="58">
        <v>31.57</v>
      </c>
      <c r="D254" s="14" t="s">
        <v>9</v>
      </c>
      <c r="E254" s="14"/>
      <c r="F254" s="14"/>
    </row>
    <row r="255" spans="1:6" ht="15.75" customHeight="1" x14ac:dyDescent="0.25">
      <c r="A255" s="14">
        <v>26</v>
      </c>
      <c r="B255" s="15">
        <v>6.21</v>
      </c>
      <c r="C255" s="58">
        <v>65.28</v>
      </c>
      <c r="D255" s="14" t="s">
        <v>8</v>
      </c>
      <c r="E255" s="14"/>
      <c r="F255" s="14"/>
    </row>
    <row r="256" spans="1:6" ht="15.75" customHeight="1" x14ac:dyDescent="0.25">
      <c r="A256" s="14">
        <v>3</v>
      </c>
      <c r="B256" s="15">
        <v>6.22</v>
      </c>
      <c r="C256" s="58">
        <v>51.33</v>
      </c>
      <c r="D256" s="14" t="s">
        <v>8</v>
      </c>
      <c r="E256" s="14"/>
      <c r="F256" s="14"/>
    </row>
    <row r="257" spans="1:6" ht="15.75" customHeight="1" x14ac:dyDescent="0.25">
      <c r="A257" s="14">
        <v>19</v>
      </c>
      <c r="B257" s="15">
        <v>6.22</v>
      </c>
      <c r="C257" s="58">
        <v>33.18</v>
      </c>
      <c r="D257" s="14" t="s">
        <v>9</v>
      </c>
      <c r="E257" s="14"/>
      <c r="F257" s="14"/>
    </row>
    <row r="258" spans="1:6" ht="15.75" customHeight="1" x14ac:dyDescent="0.25">
      <c r="A258" s="14">
        <v>26</v>
      </c>
      <c r="B258" s="15">
        <v>6.23</v>
      </c>
      <c r="C258" s="58">
        <v>53.91</v>
      </c>
      <c r="D258" s="14" t="s">
        <v>8</v>
      </c>
      <c r="E258" s="14"/>
      <c r="F258" s="14"/>
    </row>
    <row r="259" spans="1:6" ht="15.75" customHeight="1" x14ac:dyDescent="0.25">
      <c r="A259" s="14">
        <v>43</v>
      </c>
      <c r="B259" s="15">
        <v>6.23</v>
      </c>
      <c r="C259" s="58">
        <v>42.26</v>
      </c>
      <c r="D259" s="14" t="s">
        <v>9</v>
      </c>
      <c r="E259" s="14"/>
      <c r="F259" s="14"/>
    </row>
    <row r="260" spans="1:6" ht="15.75" customHeight="1" x14ac:dyDescent="0.25">
      <c r="A260" s="14">
        <v>48</v>
      </c>
      <c r="B260" s="15">
        <v>6.23</v>
      </c>
      <c r="C260" s="58">
        <v>36.51</v>
      </c>
      <c r="D260" s="14" t="s">
        <v>9</v>
      </c>
      <c r="E260" s="14"/>
      <c r="F260" s="14"/>
    </row>
    <row r="261" spans="1:6" ht="15.75" customHeight="1" x14ac:dyDescent="0.25">
      <c r="A261" s="14">
        <v>32</v>
      </c>
      <c r="B261" s="15">
        <v>6.24</v>
      </c>
      <c r="C261" s="58">
        <v>54.93</v>
      </c>
      <c r="D261" s="14" t="s">
        <v>9</v>
      </c>
      <c r="E261" s="14"/>
      <c r="F261" s="14"/>
    </row>
    <row r="262" spans="1:6" ht="15.75" customHeight="1" x14ac:dyDescent="0.25">
      <c r="A262" s="14">
        <v>25</v>
      </c>
      <c r="B262" s="15">
        <v>6.25</v>
      </c>
      <c r="C262" s="58">
        <v>59.23</v>
      </c>
      <c r="D262" s="14" t="s">
        <v>9</v>
      </c>
      <c r="E262" s="14"/>
      <c r="F262" s="14"/>
    </row>
    <row r="263" spans="1:6" ht="15.75" customHeight="1" x14ac:dyDescent="0.25">
      <c r="A263" s="14">
        <v>34</v>
      </c>
      <c r="B263" s="15">
        <v>6.25</v>
      </c>
      <c r="C263" s="58">
        <v>35.03</v>
      </c>
      <c r="D263" s="14" t="s">
        <v>9</v>
      </c>
      <c r="E263" s="14"/>
      <c r="F263" s="14"/>
    </row>
    <row r="264" spans="1:6" ht="15.75" customHeight="1" x14ac:dyDescent="0.25">
      <c r="A264" s="14">
        <v>14</v>
      </c>
      <c r="B264" s="15">
        <v>6.27</v>
      </c>
      <c r="C264" s="58">
        <v>78.2</v>
      </c>
      <c r="D264" s="14" t="s">
        <v>9</v>
      </c>
      <c r="E264" s="14"/>
      <c r="F264" s="14"/>
    </row>
    <row r="265" spans="1:6" ht="15.75" customHeight="1" x14ac:dyDescent="0.25">
      <c r="A265" s="14">
        <v>29</v>
      </c>
      <c r="B265" s="15">
        <v>6.27</v>
      </c>
      <c r="C265" s="58">
        <v>59.31</v>
      </c>
      <c r="D265" s="14" t="s">
        <v>9</v>
      </c>
      <c r="E265" s="14"/>
      <c r="F265" s="14"/>
    </row>
    <row r="266" spans="1:6" ht="15.75" customHeight="1" x14ac:dyDescent="0.25">
      <c r="A266" s="14">
        <v>25</v>
      </c>
      <c r="B266" s="15">
        <v>6.28</v>
      </c>
      <c r="C266" s="58">
        <v>61.5</v>
      </c>
      <c r="D266" s="14" t="s">
        <v>9</v>
      </c>
      <c r="E266" s="14"/>
      <c r="F266" s="14"/>
    </row>
    <row r="267" spans="1:6" ht="15.75" customHeight="1" x14ac:dyDescent="0.25">
      <c r="A267" s="14">
        <v>14</v>
      </c>
      <c r="B267" s="15">
        <v>6.28</v>
      </c>
      <c r="C267" s="58">
        <v>58.85</v>
      </c>
      <c r="D267" s="14" t="s">
        <v>8</v>
      </c>
      <c r="E267" s="14"/>
      <c r="F267" s="14"/>
    </row>
    <row r="268" spans="1:6" ht="15.75" customHeight="1" x14ac:dyDescent="0.25">
      <c r="A268" s="14">
        <v>32</v>
      </c>
      <c r="B268" s="15">
        <v>6.31</v>
      </c>
      <c r="C268" s="58">
        <v>21.73</v>
      </c>
      <c r="D268" s="14" t="s">
        <v>9</v>
      </c>
      <c r="E268" s="14"/>
      <c r="F268" s="14"/>
    </row>
    <row r="269" spans="1:6" ht="15.75" customHeight="1" x14ac:dyDescent="0.25">
      <c r="A269" s="14">
        <v>29</v>
      </c>
      <c r="B269" s="15">
        <v>6.32</v>
      </c>
      <c r="C269" s="58">
        <v>73.260000000000005</v>
      </c>
      <c r="D269" s="14" t="s">
        <v>9</v>
      </c>
      <c r="E269" s="14"/>
      <c r="F269" s="14"/>
    </row>
    <row r="270" spans="1:6" ht="15.75" customHeight="1" x14ac:dyDescent="0.25">
      <c r="A270" s="14">
        <v>11</v>
      </c>
      <c r="B270" s="15">
        <v>6.33</v>
      </c>
      <c r="C270" s="58">
        <v>50.62</v>
      </c>
      <c r="D270" s="14" t="s">
        <v>8</v>
      </c>
      <c r="E270" s="14"/>
      <c r="F270" s="14"/>
    </row>
    <row r="271" spans="1:6" ht="15.75" customHeight="1" x14ac:dyDescent="0.25">
      <c r="A271" s="14">
        <v>35</v>
      </c>
      <c r="B271" s="15">
        <v>6.33</v>
      </c>
      <c r="C271" s="58">
        <v>47.69</v>
      </c>
      <c r="D271" s="14" t="s">
        <v>9</v>
      </c>
      <c r="E271" s="14"/>
      <c r="F271" s="14"/>
    </row>
    <row r="272" spans="1:6" ht="15.75" customHeight="1" x14ac:dyDescent="0.25">
      <c r="A272" s="14">
        <v>31</v>
      </c>
      <c r="B272" s="15">
        <v>6.34</v>
      </c>
      <c r="C272" s="58">
        <v>56.08</v>
      </c>
      <c r="D272" s="14" t="s">
        <v>9</v>
      </c>
      <c r="E272" s="14"/>
      <c r="F272" s="14"/>
    </row>
    <row r="273" spans="1:6" ht="15.75" customHeight="1" x14ac:dyDescent="0.25">
      <c r="A273" s="14">
        <v>6</v>
      </c>
      <c r="B273" s="15">
        <v>6.34</v>
      </c>
      <c r="C273" s="58">
        <v>52.36</v>
      </c>
      <c r="D273" s="14" t="s">
        <v>8</v>
      </c>
      <c r="E273" s="14"/>
      <c r="F273" s="14"/>
    </row>
    <row r="274" spans="1:6" ht="15.75" customHeight="1" x14ac:dyDescent="0.25">
      <c r="A274" s="14">
        <v>47</v>
      </c>
      <c r="B274" s="15">
        <v>6.36</v>
      </c>
      <c r="C274" s="58">
        <v>67.44</v>
      </c>
      <c r="D274" s="14" t="s">
        <v>8</v>
      </c>
      <c r="E274" s="14"/>
      <c r="F274" s="14"/>
    </row>
    <row r="275" spans="1:6" ht="15.75" customHeight="1" x14ac:dyDescent="0.25">
      <c r="A275" s="14">
        <v>31</v>
      </c>
      <c r="B275" s="15">
        <v>6.38</v>
      </c>
      <c r="C275" s="58">
        <v>63.51</v>
      </c>
      <c r="D275" s="14" t="s">
        <v>8</v>
      </c>
      <c r="E275" s="14"/>
      <c r="F275" s="14"/>
    </row>
    <row r="276" spans="1:6" ht="15.75" customHeight="1" x14ac:dyDescent="0.25">
      <c r="A276" s="14">
        <v>20</v>
      </c>
      <c r="B276" s="15">
        <v>6.41</v>
      </c>
      <c r="C276" s="58">
        <v>45.66</v>
      </c>
      <c r="D276" s="14" t="s">
        <v>8</v>
      </c>
      <c r="E276" s="14"/>
      <c r="F276" s="14"/>
    </row>
    <row r="277" spans="1:6" ht="15.75" customHeight="1" x14ac:dyDescent="0.25">
      <c r="A277" s="14">
        <v>19</v>
      </c>
      <c r="B277" s="15">
        <v>6.41</v>
      </c>
      <c r="C277" s="58">
        <v>26.77</v>
      </c>
      <c r="D277" s="14" t="s">
        <v>9</v>
      </c>
      <c r="E277" s="14"/>
      <c r="F277" s="14"/>
    </row>
    <row r="278" spans="1:6" ht="15.75" customHeight="1" x14ac:dyDescent="0.25">
      <c r="A278" s="14">
        <v>7</v>
      </c>
      <c r="B278" s="15">
        <v>6.43</v>
      </c>
      <c r="C278" s="58">
        <v>54.95</v>
      </c>
      <c r="D278" s="14" t="s">
        <v>8</v>
      </c>
      <c r="E278" s="14"/>
      <c r="F278" s="14"/>
    </row>
    <row r="279" spans="1:6" ht="15.75" customHeight="1" x14ac:dyDescent="0.25">
      <c r="A279" s="14">
        <v>44</v>
      </c>
      <c r="B279" s="15">
        <v>6.44</v>
      </c>
      <c r="C279" s="58">
        <v>95.27</v>
      </c>
      <c r="D279" s="14" t="s">
        <v>8</v>
      </c>
      <c r="E279" s="14"/>
      <c r="F279" s="14"/>
    </row>
    <row r="280" spans="1:6" ht="15.75" customHeight="1" x14ac:dyDescent="0.25">
      <c r="A280" s="14">
        <v>30</v>
      </c>
      <c r="B280" s="15">
        <v>6.45</v>
      </c>
      <c r="C280" s="58">
        <v>59.74</v>
      </c>
      <c r="D280" s="14" t="s">
        <v>8</v>
      </c>
      <c r="E280" s="14"/>
      <c r="F280" s="14"/>
    </row>
    <row r="281" spans="1:6" ht="15.75" customHeight="1" x14ac:dyDescent="0.25">
      <c r="A281" s="14">
        <v>51</v>
      </c>
      <c r="B281" s="15">
        <v>6.46</v>
      </c>
      <c r="C281" s="58">
        <v>69.069999999999993</v>
      </c>
      <c r="D281" s="14" t="s">
        <v>9</v>
      </c>
      <c r="E281" s="14"/>
      <c r="F281" s="14"/>
    </row>
    <row r="282" spans="1:6" ht="15.75" customHeight="1" x14ac:dyDescent="0.25">
      <c r="A282" s="14">
        <v>24</v>
      </c>
      <c r="B282" s="15">
        <v>6.46</v>
      </c>
      <c r="C282" s="58">
        <v>50.33</v>
      </c>
      <c r="D282" s="14" t="s">
        <v>9</v>
      </c>
      <c r="E282" s="14"/>
      <c r="F282" s="14"/>
    </row>
    <row r="283" spans="1:6" ht="15.75" customHeight="1" x14ac:dyDescent="0.25">
      <c r="A283" s="14">
        <v>27</v>
      </c>
      <c r="B283" s="15">
        <v>6.47</v>
      </c>
      <c r="C283" s="58">
        <v>36.21</v>
      </c>
      <c r="D283" s="14" t="s">
        <v>9</v>
      </c>
      <c r="E283" s="14"/>
      <c r="F283" s="14"/>
    </row>
    <row r="284" spans="1:6" ht="15.75" customHeight="1" x14ac:dyDescent="0.25">
      <c r="A284" s="14">
        <v>16</v>
      </c>
      <c r="B284" s="15">
        <v>6.49</v>
      </c>
      <c r="C284" s="58">
        <v>63.52</v>
      </c>
      <c r="D284" s="14" t="s">
        <v>9</v>
      </c>
      <c r="E284" s="14"/>
      <c r="F284" s="14"/>
    </row>
    <row r="285" spans="1:6" ht="15.75" customHeight="1" x14ac:dyDescent="0.25">
      <c r="A285" s="14">
        <v>9</v>
      </c>
      <c r="B285" s="15">
        <v>6.5</v>
      </c>
      <c r="C285" s="58">
        <v>76.010000000000005</v>
      </c>
      <c r="D285" s="14" t="s">
        <v>8</v>
      </c>
      <c r="E285" s="14"/>
      <c r="F285" s="14"/>
    </row>
    <row r="286" spans="1:6" ht="15.75" customHeight="1" x14ac:dyDescent="0.25">
      <c r="A286" s="14">
        <v>27</v>
      </c>
      <c r="B286" s="15">
        <v>6.5</v>
      </c>
      <c r="C286" s="58">
        <v>44.27</v>
      </c>
      <c r="D286" s="14" t="s">
        <v>9</v>
      </c>
      <c r="E286" s="14"/>
      <c r="F286" s="14"/>
    </row>
    <row r="287" spans="1:6" ht="15.75" customHeight="1" x14ac:dyDescent="0.25">
      <c r="A287" s="14">
        <v>56</v>
      </c>
      <c r="B287" s="15">
        <v>6.51</v>
      </c>
      <c r="C287" s="58">
        <v>67.02</v>
      </c>
      <c r="D287" s="14" t="s">
        <v>9</v>
      </c>
      <c r="E287" s="14"/>
      <c r="F287" s="14"/>
    </row>
    <row r="288" spans="1:6" ht="15.75" customHeight="1" x14ac:dyDescent="0.25">
      <c r="A288" s="14">
        <v>18</v>
      </c>
      <c r="B288" s="15">
        <v>6.54</v>
      </c>
      <c r="C288" s="58">
        <v>60.5</v>
      </c>
      <c r="D288" s="14" t="s">
        <v>9</v>
      </c>
      <c r="E288" s="14"/>
      <c r="F288" s="14"/>
    </row>
    <row r="289" spans="1:6" ht="15.75" customHeight="1" x14ac:dyDescent="0.25">
      <c r="A289" s="14">
        <v>31</v>
      </c>
      <c r="B289" s="15">
        <v>6.55</v>
      </c>
      <c r="C289" s="58">
        <v>50.83</v>
      </c>
      <c r="D289" s="14" t="s">
        <v>8</v>
      </c>
      <c r="E289" s="14"/>
      <c r="F289" s="14"/>
    </row>
    <row r="290" spans="1:6" ht="15.75" customHeight="1" x14ac:dyDescent="0.25">
      <c r="A290" s="14">
        <v>24</v>
      </c>
      <c r="B290" s="15">
        <v>6.56</v>
      </c>
      <c r="C290" s="58">
        <v>76.7</v>
      </c>
      <c r="D290" s="14" t="s">
        <v>9</v>
      </c>
      <c r="E290" s="14"/>
      <c r="F290" s="14"/>
    </row>
    <row r="291" spans="1:6" ht="15.75" customHeight="1" x14ac:dyDescent="0.25">
      <c r="A291" s="14">
        <v>19</v>
      </c>
      <c r="B291" s="15">
        <v>6.57</v>
      </c>
      <c r="C291" s="58">
        <v>64.61</v>
      </c>
      <c r="D291" s="14" t="s">
        <v>8</v>
      </c>
      <c r="E291" s="14"/>
      <c r="F291" s="14"/>
    </row>
    <row r="292" spans="1:6" ht="15.75" customHeight="1" x14ac:dyDescent="0.25">
      <c r="A292" s="14">
        <v>29</v>
      </c>
      <c r="B292" s="15">
        <v>6.59</v>
      </c>
      <c r="C292" s="58">
        <v>52.87</v>
      </c>
      <c r="D292" s="14" t="s">
        <v>8</v>
      </c>
      <c r="E292" s="14"/>
      <c r="F292" s="14"/>
    </row>
    <row r="293" spans="1:6" ht="15.75" customHeight="1" x14ac:dyDescent="0.25">
      <c r="A293" s="14">
        <v>35</v>
      </c>
      <c r="B293" s="15">
        <v>6.63</v>
      </c>
      <c r="C293" s="58">
        <v>79.290000000000006</v>
      </c>
      <c r="D293" s="14" t="s">
        <v>8</v>
      </c>
      <c r="E293" s="14"/>
      <c r="F293" s="14"/>
    </row>
    <row r="294" spans="1:6" ht="15.75" customHeight="1" x14ac:dyDescent="0.25">
      <c r="A294" s="14">
        <v>27</v>
      </c>
      <c r="B294" s="15">
        <v>6.63</v>
      </c>
      <c r="C294" s="58">
        <v>54.57</v>
      </c>
      <c r="D294" s="14" t="s">
        <v>8</v>
      </c>
      <c r="E294" s="14"/>
      <c r="F294" s="14"/>
    </row>
    <row r="295" spans="1:6" ht="15.75" customHeight="1" x14ac:dyDescent="0.25">
      <c r="A295" s="14">
        <v>27</v>
      </c>
      <c r="B295" s="15">
        <v>6.63</v>
      </c>
      <c r="C295" s="58">
        <v>34.28</v>
      </c>
      <c r="D295" s="14" t="s">
        <v>8</v>
      </c>
      <c r="E295" s="14"/>
      <c r="F295" s="14"/>
    </row>
    <row r="296" spans="1:6" ht="15.75" customHeight="1" x14ac:dyDescent="0.25">
      <c r="A296" s="14">
        <v>37</v>
      </c>
      <c r="B296" s="15">
        <v>6.64</v>
      </c>
      <c r="C296" s="58">
        <v>66.959999999999994</v>
      </c>
      <c r="D296" s="14" t="s">
        <v>9</v>
      </c>
      <c r="E296" s="14"/>
      <c r="F296" s="14"/>
    </row>
    <row r="297" spans="1:6" ht="15.75" customHeight="1" x14ac:dyDescent="0.25">
      <c r="A297" s="14">
        <v>11</v>
      </c>
      <c r="B297" s="15">
        <v>6.64</v>
      </c>
      <c r="C297" s="58">
        <v>52.51</v>
      </c>
      <c r="D297" s="14" t="s">
        <v>8</v>
      </c>
      <c r="E297" s="14"/>
      <c r="F297" s="14"/>
    </row>
    <row r="298" spans="1:6" ht="15.75" customHeight="1" x14ac:dyDescent="0.25">
      <c r="A298" s="14">
        <v>21</v>
      </c>
      <c r="B298" s="15">
        <v>6.65</v>
      </c>
      <c r="C298" s="58">
        <v>62.98</v>
      </c>
      <c r="D298" s="14" t="s">
        <v>9</v>
      </c>
      <c r="E298" s="14"/>
      <c r="F298" s="14"/>
    </row>
    <row r="299" spans="1:6" ht="15.75" customHeight="1" x14ac:dyDescent="0.25">
      <c r="A299" s="14">
        <v>74</v>
      </c>
      <c r="B299" s="15">
        <v>6.65</v>
      </c>
      <c r="C299" s="58">
        <v>55.63</v>
      </c>
      <c r="D299" s="14" t="s">
        <v>9</v>
      </c>
      <c r="E299" s="14"/>
      <c r="F299" s="14"/>
    </row>
    <row r="300" spans="1:6" ht="15.75" customHeight="1" x14ac:dyDescent="0.25">
      <c r="A300" s="14">
        <v>15</v>
      </c>
      <c r="B300" s="15">
        <v>6.65</v>
      </c>
      <c r="C300" s="58">
        <v>54.56</v>
      </c>
      <c r="D300" s="14" t="s">
        <v>9</v>
      </c>
      <c r="E300" s="14"/>
      <c r="F300" s="14"/>
    </row>
    <row r="301" spans="1:6" ht="15.75" customHeight="1" x14ac:dyDescent="0.25">
      <c r="A301" s="14">
        <v>16</v>
      </c>
      <c r="B301" s="15">
        <v>6.66</v>
      </c>
      <c r="C301" s="58">
        <v>55.42</v>
      </c>
      <c r="D301" s="14" t="s">
        <v>9</v>
      </c>
      <c r="E301" s="14"/>
      <c r="F301" s="14"/>
    </row>
    <row r="302" spans="1:6" ht="15.75" customHeight="1" x14ac:dyDescent="0.25">
      <c r="A302" s="14">
        <v>8</v>
      </c>
      <c r="B302" s="15">
        <v>6.67</v>
      </c>
      <c r="C302" s="58">
        <v>50.18</v>
      </c>
      <c r="D302" s="14" t="s">
        <v>9</v>
      </c>
      <c r="E302" s="14"/>
      <c r="F302" s="14"/>
    </row>
    <row r="303" spans="1:6" ht="15.75" customHeight="1" x14ac:dyDescent="0.25">
      <c r="A303" s="14">
        <v>20</v>
      </c>
      <c r="B303" s="15">
        <v>6.68</v>
      </c>
      <c r="C303" s="58">
        <v>74.41</v>
      </c>
      <c r="D303" s="14" t="s">
        <v>9</v>
      </c>
      <c r="E303" s="14"/>
      <c r="F303" s="14"/>
    </row>
    <row r="304" spans="1:6" ht="15.75" customHeight="1" x14ac:dyDescent="0.25">
      <c r="A304" s="14">
        <v>23</v>
      </c>
      <c r="B304" s="15">
        <v>6.68</v>
      </c>
      <c r="C304" s="58">
        <v>33.049999999999997</v>
      </c>
      <c r="D304" s="14" t="s">
        <v>8</v>
      </c>
      <c r="E304" s="14"/>
      <c r="F304" s="14"/>
    </row>
    <row r="305" spans="1:6" ht="15.75" customHeight="1" x14ac:dyDescent="0.25">
      <c r="A305" s="14">
        <v>49</v>
      </c>
      <c r="B305" s="15">
        <v>6.69</v>
      </c>
      <c r="C305" s="58">
        <v>66.430000000000007</v>
      </c>
      <c r="D305" s="14" t="s">
        <v>9</v>
      </c>
      <c r="E305" s="14"/>
      <c r="F305" s="14"/>
    </row>
    <row r="306" spans="1:6" ht="15.75" customHeight="1" x14ac:dyDescent="0.25">
      <c r="A306" s="14">
        <v>10</v>
      </c>
      <c r="B306" s="15">
        <v>6.69</v>
      </c>
      <c r="C306" s="58">
        <v>57.47</v>
      </c>
      <c r="D306" s="14" t="s">
        <v>8</v>
      </c>
      <c r="E306" s="14"/>
      <c r="F306" s="14"/>
    </row>
    <row r="307" spans="1:6" ht="15.75" customHeight="1" x14ac:dyDescent="0.25">
      <c r="A307" s="14">
        <v>9</v>
      </c>
      <c r="B307" s="15">
        <v>6.7</v>
      </c>
      <c r="C307" s="58">
        <v>47.74</v>
      </c>
      <c r="D307" s="14" t="s">
        <v>9</v>
      </c>
      <c r="E307" s="14"/>
      <c r="F307" s="14"/>
    </row>
    <row r="308" spans="1:6" ht="15.75" customHeight="1" x14ac:dyDescent="0.25">
      <c r="A308" s="14">
        <v>42</v>
      </c>
      <c r="B308" s="15">
        <v>6.71</v>
      </c>
      <c r="C308" s="58">
        <v>70.739999999999995</v>
      </c>
      <c r="D308" s="14" t="s">
        <v>9</v>
      </c>
      <c r="E308" s="14"/>
      <c r="F308" s="14"/>
    </row>
    <row r="309" spans="1:6" ht="15.75" customHeight="1" x14ac:dyDescent="0.25">
      <c r="A309" s="14">
        <v>36</v>
      </c>
      <c r="B309" s="15">
        <v>6.71</v>
      </c>
      <c r="C309" s="58">
        <v>40.14</v>
      </c>
      <c r="D309" s="14" t="s">
        <v>9</v>
      </c>
      <c r="E309" s="14"/>
      <c r="F309" s="14"/>
    </row>
    <row r="310" spans="1:6" ht="15.75" customHeight="1" x14ac:dyDescent="0.25">
      <c r="A310" s="14">
        <v>30</v>
      </c>
      <c r="B310" s="15">
        <v>6.72</v>
      </c>
      <c r="C310" s="58">
        <v>64.55</v>
      </c>
      <c r="D310" s="14" t="s">
        <v>8</v>
      </c>
      <c r="E310" s="14"/>
      <c r="F310" s="14"/>
    </row>
    <row r="311" spans="1:6" ht="15.75" customHeight="1" x14ac:dyDescent="0.25">
      <c r="A311" s="14">
        <v>42</v>
      </c>
      <c r="B311" s="15">
        <v>6.73</v>
      </c>
      <c r="C311" s="58">
        <v>67.739999999999995</v>
      </c>
      <c r="D311" s="14" t="s">
        <v>9</v>
      </c>
      <c r="E311" s="14"/>
      <c r="F311" s="14"/>
    </row>
    <row r="312" spans="1:6" ht="15.75" customHeight="1" x14ac:dyDescent="0.25">
      <c r="A312" s="14">
        <v>1</v>
      </c>
      <c r="B312" s="15">
        <v>6.73</v>
      </c>
      <c r="C312" s="58">
        <v>44.64</v>
      </c>
      <c r="D312" s="14" t="s">
        <v>9</v>
      </c>
      <c r="E312" s="14"/>
      <c r="F312" s="14"/>
    </row>
    <row r="313" spans="1:6" ht="15.75" customHeight="1" x14ac:dyDescent="0.25">
      <c r="A313" s="14">
        <v>14</v>
      </c>
      <c r="B313" s="15">
        <v>6.74</v>
      </c>
      <c r="C313" s="58">
        <v>79.67</v>
      </c>
      <c r="D313" s="14" t="s">
        <v>9</v>
      </c>
      <c r="E313" s="14"/>
      <c r="F313" s="14"/>
    </row>
    <row r="314" spans="1:6" ht="15.75" customHeight="1" x14ac:dyDescent="0.25">
      <c r="A314" s="14">
        <v>20</v>
      </c>
      <c r="B314" s="15">
        <v>6.75</v>
      </c>
      <c r="C314" s="58">
        <v>79.989999999999995</v>
      </c>
      <c r="D314" s="14" t="s">
        <v>9</v>
      </c>
      <c r="E314" s="14"/>
      <c r="F314" s="14"/>
    </row>
    <row r="315" spans="1:6" ht="15.75" customHeight="1" x14ac:dyDescent="0.25">
      <c r="A315" s="14">
        <v>49</v>
      </c>
      <c r="B315" s="15">
        <v>6.76</v>
      </c>
      <c r="C315" s="58">
        <v>59.39</v>
      </c>
      <c r="D315" s="14" t="s">
        <v>8</v>
      </c>
      <c r="E315" s="14"/>
      <c r="F315" s="14"/>
    </row>
    <row r="316" spans="1:6" ht="15.75" customHeight="1" x14ac:dyDescent="0.25">
      <c r="A316" s="14">
        <v>10</v>
      </c>
      <c r="B316" s="15">
        <v>6.76</v>
      </c>
      <c r="C316" s="58">
        <v>37.07</v>
      </c>
      <c r="D316" s="14" t="s">
        <v>8</v>
      </c>
      <c r="E316" s="14"/>
      <c r="F316" s="14"/>
    </row>
    <row r="317" spans="1:6" ht="15.75" customHeight="1" x14ac:dyDescent="0.25">
      <c r="A317" s="14">
        <v>48</v>
      </c>
      <c r="B317" s="15">
        <v>6.78</v>
      </c>
      <c r="C317" s="58">
        <v>73.25</v>
      </c>
      <c r="D317" s="14" t="s">
        <v>9</v>
      </c>
      <c r="E317" s="14"/>
      <c r="F317" s="14"/>
    </row>
    <row r="318" spans="1:6" ht="15.75" customHeight="1" x14ac:dyDescent="0.25">
      <c r="A318" s="14">
        <v>5</v>
      </c>
      <c r="B318" s="15">
        <v>6.8</v>
      </c>
      <c r="C318" s="58">
        <v>61.9</v>
      </c>
      <c r="D318" s="14" t="s">
        <v>9</v>
      </c>
      <c r="E318" s="14"/>
      <c r="F318" s="14"/>
    </row>
    <row r="319" spans="1:6" ht="15.75" customHeight="1" x14ac:dyDescent="0.25">
      <c r="A319" s="14">
        <v>9</v>
      </c>
      <c r="B319" s="15">
        <v>6.81</v>
      </c>
      <c r="C319" s="58">
        <v>70.040000000000006</v>
      </c>
      <c r="D319" s="14" t="s">
        <v>9</v>
      </c>
      <c r="E319" s="14"/>
      <c r="F319" s="14"/>
    </row>
    <row r="320" spans="1:6" ht="15.75" customHeight="1" x14ac:dyDescent="0.25">
      <c r="A320" s="14">
        <v>1</v>
      </c>
      <c r="B320" s="15">
        <v>6.81</v>
      </c>
      <c r="C320" s="58">
        <v>64.599999999999994</v>
      </c>
      <c r="D320" s="14" t="s">
        <v>8</v>
      </c>
      <c r="E320" s="14"/>
      <c r="F320" s="14"/>
    </row>
    <row r="321" spans="1:6" ht="15.75" customHeight="1" x14ac:dyDescent="0.25">
      <c r="A321" s="14">
        <v>34</v>
      </c>
      <c r="B321" s="15">
        <v>6.82</v>
      </c>
      <c r="C321" s="58">
        <v>55.6</v>
      </c>
      <c r="D321" s="14" t="s">
        <v>8</v>
      </c>
      <c r="E321" s="14"/>
      <c r="F321" s="14"/>
    </row>
    <row r="322" spans="1:6" ht="15.75" customHeight="1" x14ac:dyDescent="0.25">
      <c r="A322" s="14">
        <v>38</v>
      </c>
      <c r="B322" s="15">
        <v>6.82</v>
      </c>
      <c r="C322" s="58">
        <v>52.3</v>
      </c>
      <c r="D322" s="14" t="s">
        <v>8</v>
      </c>
      <c r="E322" s="14"/>
      <c r="F322" s="14"/>
    </row>
    <row r="323" spans="1:6" ht="15.75" customHeight="1" x14ac:dyDescent="0.25">
      <c r="A323" s="14">
        <v>26</v>
      </c>
      <c r="B323" s="15">
        <v>6.82</v>
      </c>
      <c r="C323" s="58">
        <v>51.97</v>
      </c>
      <c r="D323" s="14" t="s">
        <v>9</v>
      </c>
      <c r="E323" s="14"/>
      <c r="F323" s="14"/>
    </row>
    <row r="324" spans="1:6" ht="15.75" customHeight="1" x14ac:dyDescent="0.25">
      <c r="A324" s="14">
        <v>18</v>
      </c>
      <c r="B324" s="15">
        <v>6.84</v>
      </c>
      <c r="C324" s="58">
        <v>81.88</v>
      </c>
      <c r="D324" s="14" t="s">
        <v>9</v>
      </c>
      <c r="E324" s="14"/>
      <c r="F324" s="14"/>
    </row>
    <row r="325" spans="1:6" ht="15.75" customHeight="1" x14ac:dyDescent="0.25">
      <c r="A325" s="14">
        <v>24</v>
      </c>
      <c r="B325" s="15">
        <v>6.85</v>
      </c>
      <c r="C325" s="58">
        <v>62.56</v>
      </c>
      <c r="D325" s="14" t="s">
        <v>9</v>
      </c>
      <c r="E325" s="14"/>
      <c r="F325" s="14"/>
    </row>
    <row r="326" spans="1:6" ht="15.75" customHeight="1" x14ac:dyDescent="0.25">
      <c r="A326" s="14">
        <v>5</v>
      </c>
      <c r="B326" s="15">
        <v>6.85</v>
      </c>
      <c r="C326" s="58">
        <v>54.74</v>
      </c>
      <c r="D326" s="14" t="s">
        <v>9</v>
      </c>
      <c r="E326" s="14"/>
      <c r="F326" s="14"/>
    </row>
    <row r="327" spans="1:6" ht="15.75" customHeight="1" x14ac:dyDescent="0.25">
      <c r="A327" s="14">
        <v>51</v>
      </c>
      <c r="B327" s="15">
        <v>6.86</v>
      </c>
      <c r="C327" s="58">
        <v>74.760000000000005</v>
      </c>
      <c r="D327" s="14" t="s">
        <v>8</v>
      </c>
      <c r="E327" s="14"/>
      <c r="F327" s="14"/>
    </row>
    <row r="328" spans="1:6" ht="15.75" customHeight="1" x14ac:dyDescent="0.25">
      <c r="A328" s="14">
        <v>29</v>
      </c>
      <c r="B328" s="15">
        <v>6.91</v>
      </c>
      <c r="C328" s="58">
        <v>76.37</v>
      </c>
      <c r="D328" s="14" t="s">
        <v>9</v>
      </c>
      <c r="E328" s="14"/>
      <c r="F328" s="14"/>
    </row>
    <row r="329" spans="1:6" ht="15.75" customHeight="1" x14ac:dyDescent="0.25">
      <c r="A329" s="14">
        <v>17</v>
      </c>
      <c r="B329" s="15">
        <v>6.91</v>
      </c>
      <c r="C329" s="58">
        <v>52.93</v>
      </c>
      <c r="D329" s="14" t="s">
        <v>9</v>
      </c>
      <c r="E329" s="14"/>
      <c r="F329" s="14"/>
    </row>
    <row r="330" spans="1:6" ht="15.75" customHeight="1" x14ac:dyDescent="0.25">
      <c r="A330" s="14">
        <v>38</v>
      </c>
      <c r="B330" s="15">
        <v>6.92</v>
      </c>
      <c r="C330" s="58">
        <v>50.8</v>
      </c>
      <c r="D330" s="14" t="s">
        <v>9</v>
      </c>
      <c r="E330" s="14"/>
      <c r="F330" s="14"/>
    </row>
    <row r="331" spans="1:6" ht="15.75" customHeight="1" x14ac:dyDescent="0.25">
      <c r="A331" s="14">
        <v>28</v>
      </c>
      <c r="B331" s="15">
        <v>6.93</v>
      </c>
      <c r="C331" s="58">
        <v>71.62</v>
      </c>
      <c r="D331" s="14" t="s">
        <v>9</v>
      </c>
      <c r="E331" s="14"/>
      <c r="F331" s="14"/>
    </row>
    <row r="332" spans="1:6" ht="15.75" customHeight="1" x14ac:dyDescent="0.25">
      <c r="A332" s="14">
        <v>36</v>
      </c>
      <c r="B332" s="15">
        <v>6.94</v>
      </c>
      <c r="C332" s="58">
        <v>85.29</v>
      </c>
      <c r="D332" s="14" t="s">
        <v>9</v>
      </c>
      <c r="E332" s="14"/>
      <c r="F332" s="14"/>
    </row>
    <row r="333" spans="1:6" ht="15.75" customHeight="1" x14ac:dyDescent="0.25">
      <c r="A333" s="14">
        <v>10</v>
      </c>
      <c r="B333" s="15">
        <v>6.95</v>
      </c>
      <c r="C333" s="58">
        <v>87.42</v>
      </c>
      <c r="D333" s="14" t="s">
        <v>9</v>
      </c>
      <c r="E333" s="14"/>
      <c r="F333" s="14"/>
    </row>
    <row r="334" spans="1:6" ht="15.75" customHeight="1" x14ac:dyDescent="0.25">
      <c r="A334" s="14">
        <v>27</v>
      </c>
      <c r="B334" s="15">
        <v>6.96</v>
      </c>
      <c r="C334" s="58">
        <v>65.400000000000006</v>
      </c>
      <c r="D334" s="14" t="s">
        <v>8</v>
      </c>
      <c r="E334" s="14"/>
      <c r="F334" s="14"/>
    </row>
    <row r="335" spans="1:6" ht="15.75" customHeight="1" x14ac:dyDescent="0.25">
      <c r="A335" s="14">
        <v>40</v>
      </c>
      <c r="B335" s="15">
        <v>6.96</v>
      </c>
      <c r="C335" s="58">
        <v>63.5</v>
      </c>
      <c r="D335" s="14" t="s">
        <v>8</v>
      </c>
      <c r="E335" s="14"/>
      <c r="F335" s="14"/>
    </row>
    <row r="336" spans="1:6" ht="15.75" customHeight="1" x14ac:dyDescent="0.25">
      <c r="A336" s="14">
        <v>12</v>
      </c>
      <c r="B336" s="15">
        <v>6.96</v>
      </c>
      <c r="C336" s="58">
        <v>61.19</v>
      </c>
      <c r="D336" s="14" t="s">
        <v>9</v>
      </c>
      <c r="E336" s="14"/>
      <c r="F336" s="14"/>
    </row>
    <row r="337" spans="1:6" ht="15.75" customHeight="1" x14ac:dyDescent="0.25">
      <c r="A337" s="14">
        <v>10</v>
      </c>
      <c r="B337" s="15">
        <v>6.96</v>
      </c>
      <c r="C337" s="58">
        <v>47.98</v>
      </c>
      <c r="D337" s="14" t="s">
        <v>9</v>
      </c>
      <c r="E337" s="14"/>
      <c r="F337" s="14"/>
    </row>
    <row r="338" spans="1:6" ht="15.75" customHeight="1" x14ac:dyDescent="0.25">
      <c r="A338" s="14">
        <v>36</v>
      </c>
      <c r="B338" s="15">
        <v>6.97</v>
      </c>
      <c r="C338" s="58">
        <v>58.86</v>
      </c>
      <c r="D338" s="14" t="s">
        <v>8</v>
      </c>
      <c r="E338" s="14"/>
      <c r="F338" s="14"/>
    </row>
    <row r="339" spans="1:6" ht="15.75" customHeight="1" x14ac:dyDescent="0.25">
      <c r="A339" s="14">
        <v>7</v>
      </c>
      <c r="B339" s="15">
        <v>6.99</v>
      </c>
      <c r="C339" s="58">
        <v>57.18</v>
      </c>
      <c r="D339" s="14" t="s">
        <v>9</v>
      </c>
      <c r="E339" s="14"/>
      <c r="F339" s="14"/>
    </row>
    <row r="340" spans="1:6" ht="15.75" customHeight="1" x14ac:dyDescent="0.25">
      <c r="A340" s="14">
        <v>33</v>
      </c>
      <c r="B340" s="15">
        <v>6.99</v>
      </c>
      <c r="C340" s="58">
        <v>54.32</v>
      </c>
      <c r="D340" s="14" t="s">
        <v>8</v>
      </c>
      <c r="E340" s="14"/>
      <c r="F340" s="14"/>
    </row>
    <row r="341" spans="1:6" ht="15.75" customHeight="1" x14ac:dyDescent="0.25">
      <c r="A341" s="14">
        <v>43</v>
      </c>
      <c r="B341" s="15">
        <v>7</v>
      </c>
      <c r="C341" s="58">
        <v>38.090000000000003</v>
      </c>
      <c r="D341" s="14" t="s">
        <v>9</v>
      </c>
      <c r="E341" s="14"/>
      <c r="F341" s="14"/>
    </row>
    <row r="342" spans="1:6" ht="15.75" customHeight="1" x14ac:dyDescent="0.25">
      <c r="A342" s="14">
        <v>41</v>
      </c>
      <c r="B342" s="15">
        <v>7.05</v>
      </c>
      <c r="C342" s="58">
        <v>48.83</v>
      </c>
      <c r="D342" s="14" t="s">
        <v>8</v>
      </c>
      <c r="E342" s="14"/>
      <c r="F342" s="14"/>
    </row>
    <row r="343" spans="1:6" ht="15.75" customHeight="1" x14ac:dyDescent="0.25">
      <c r="A343" s="14">
        <v>42</v>
      </c>
      <c r="B343" s="15">
        <v>7.06</v>
      </c>
      <c r="C343" s="58">
        <v>86.68</v>
      </c>
      <c r="D343" s="14" t="s">
        <v>8</v>
      </c>
      <c r="E343" s="14"/>
      <c r="F343" s="14"/>
    </row>
    <row r="344" spans="1:6" ht="15.75" customHeight="1" x14ac:dyDescent="0.25">
      <c r="A344" s="14">
        <v>4</v>
      </c>
      <c r="B344" s="15">
        <v>7.06</v>
      </c>
      <c r="C344" s="58">
        <v>40.79</v>
      </c>
      <c r="D344" s="14" t="s">
        <v>9</v>
      </c>
      <c r="E344" s="14"/>
      <c r="F344" s="14"/>
    </row>
    <row r="345" spans="1:6" ht="15.75" customHeight="1" x14ac:dyDescent="0.25">
      <c r="A345" s="14">
        <v>24</v>
      </c>
      <c r="B345" s="15">
        <v>7.07</v>
      </c>
      <c r="C345" s="58">
        <v>92.83</v>
      </c>
      <c r="D345" s="14" t="s">
        <v>9</v>
      </c>
      <c r="E345" s="14"/>
      <c r="F345" s="14"/>
    </row>
    <row r="346" spans="1:6" ht="15.75" customHeight="1" x14ac:dyDescent="0.25">
      <c r="A346" s="14">
        <v>39</v>
      </c>
      <c r="B346" s="15">
        <v>7.07</v>
      </c>
      <c r="C346" s="58">
        <v>48.18</v>
      </c>
      <c r="D346" s="14" t="s">
        <v>9</v>
      </c>
      <c r="E346" s="14"/>
      <c r="F346" s="14"/>
    </row>
    <row r="347" spans="1:6" ht="15.75" customHeight="1" x14ac:dyDescent="0.25">
      <c r="A347" s="14">
        <v>13</v>
      </c>
      <c r="B347" s="15">
        <v>7.11</v>
      </c>
      <c r="C347" s="58">
        <v>55.07</v>
      </c>
      <c r="D347" s="14" t="s">
        <v>8</v>
      </c>
      <c r="E347" s="14"/>
      <c r="F347" s="14"/>
    </row>
    <row r="348" spans="1:6" ht="15.75" customHeight="1" x14ac:dyDescent="0.25">
      <c r="A348" s="14">
        <v>2</v>
      </c>
      <c r="B348" s="15">
        <v>7.12</v>
      </c>
      <c r="C348" s="58">
        <v>89.46</v>
      </c>
      <c r="D348" s="14" t="s">
        <v>9</v>
      </c>
      <c r="E348" s="14"/>
      <c r="F348" s="14"/>
    </row>
    <row r="349" spans="1:6" ht="15.75" customHeight="1" x14ac:dyDescent="0.25">
      <c r="A349" s="14">
        <v>14</v>
      </c>
      <c r="B349" s="15">
        <v>7.18</v>
      </c>
      <c r="C349" s="58">
        <v>77.290000000000006</v>
      </c>
      <c r="D349" s="14" t="s">
        <v>8</v>
      </c>
      <c r="E349" s="14"/>
      <c r="F349" s="14"/>
    </row>
    <row r="350" spans="1:6" ht="15.75" customHeight="1" x14ac:dyDescent="0.25">
      <c r="A350" s="14">
        <v>30</v>
      </c>
      <c r="B350" s="15">
        <v>7.18</v>
      </c>
      <c r="C350" s="58">
        <v>22.58</v>
      </c>
      <c r="D350" s="14" t="s">
        <v>9</v>
      </c>
      <c r="E350" s="14"/>
      <c r="F350" s="14"/>
    </row>
    <row r="351" spans="1:6" ht="15.75" customHeight="1" x14ac:dyDescent="0.25">
      <c r="A351" s="14">
        <v>32</v>
      </c>
      <c r="B351" s="15">
        <v>7.19</v>
      </c>
      <c r="C351" s="58">
        <v>48.4</v>
      </c>
      <c r="D351" s="14" t="s">
        <v>9</v>
      </c>
      <c r="E351" s="14"/>
      <c r="F351" s="14"/>
    </row>
    <row r="352" spans="1:6" ht="15.75" customHeight="1" x14ac:dyDescent="0.25">
      <c r="A352" s="14">
        <v>38</v>
      </c>
      <c r="B352" s="15">
        <v>7.21</v>
      </c>
      <c r="C352" s="58">
        <v>86.23</v>
      </c>
      <c r="D352" s="14" t="s">
        <v>8</v>
      </c>
      <c r="E352" s="14"/>
      <c r="F352" s="14"/>
    </row>
    <row r="353" spans="1:6" ht="15.75" customHeight="1" x14ac:dyDescent="0.25">
      <c r="A353" s="14">
        <v>10</v>
      </c>
      <c r="B353" s="15">
        <v>7.21</v>
      </c>
      <c r="C353" s="58">
        <v>56.66</v>
      </c>
      <c r="D353" s="14" t="s">
        <v>8</v>
      </c>
      <c r="E353" s="14"/>
      <c r="F353" s="14"/>
    </row>
    <row r="354" spans="1:6" ht="15.75" customHeight="1" x14ac:dyDescent="0.25">
      <c r="A354" s="14">
        <v>28</v>
      </c>
      <c r="B354" s="15">
        <v>7.21</v>
      </c>
      <c r="C354" s="58">
        <v>52.08</v>
      </c>
      <c r="D354" s="14" t="s">
        <v>8</v>
      </c>
      <c r="E354" s="14"/>
      <c r="F354" s="14"/>
    </row>
    <row r="355" spans="1:6" ht="15.75" customHeight="1" x14ac:dyDescent="0.25">
      <c r="A355" s="14">
        <v>46</v>
      </c>
      <c r="B355" s="15">
        <v>7.22</v>
      </c>
      <c r="C355" s="58">
        <v>61.92</v>
      </c>
      <c r="D355" s="14" t="s">
        <v>8</v>
      </c>
      <c r="E355" s="14"/>
      <c r="F355" s="14"/>
    </row>
    <row r="356" spans="1:6" ht="15.75" customHeight="1" x14ac:dyDescent="0.25">
      <c r="A356" s="14">
        <v>31</v>
      </c>
      <c r="B356" s="15">
        <v>7.22</v>
      </c>
      <c r="C356" s="58">
        <v>28.75</v>
      </c>
      <c r="D356" s="14" t="s">
        <v>8</v>
      </c>
      <c r="E356" s="14"/>
      <c r="F356" s="14"/>
    </row>
    <row r="357" spans="1:6" ht="15.75" customHeight="1" x14ac:dyDescent="0.25">
      <c r="A357" s="14">
        <v>36</v>
      </c>
      <c r="B357" s="15">
        <v>7.25</v>
      </c>
      <c r="C357" s="58">
        <v>91.39</v>
      </c>
      <c r="D357" s="14" t="s">
        <v>9</v>
      </c>
      <c r="E357" s="14"/>
      <c r="F357" s="14"/>
    </row>
    <row r="358" spans="1:6" ht="15.75" customHeight="1" x14ac:dyDescent="0.25">
      <c r="A358" s="14">
        <v>36</v>
      </c>
      <c r="B358" s="15">
        <v>7.25</v>
      </c>
      <c r="C358" s="58">
        <v>42.01</v>
      </c>
      <c r="D358" s="14" t="s">
        <v>9</v>
      </c>
      <c r="E358" s="14"/>
      <c r="F358" s="14"/>
    </row>
    <row r="359" spans="1:6" ht="15.75" customHeight="1" x14ac:dyDescent="0.25">
      <c r="A359" s="14">
        <v>21</v>
      </c>
      <c r="B359" s="15">
        <v>7.27</v>
      </c>
      <c r="C359" s="58">
        <v>64.69</v>
      </c>
      <c r="D359" s="14" t="s">
        <v>9</v>
      </c>
      <c r="E359" s="14"/>
      <c r="F359" s="14"/>
    </row>
    <row r="360" spans="1:6" ht="15.75" customHeight="1" x14ac:dyDescent="0.25">
      <c r="A360" s="14">
        <v>10</v>
      </c>
      <c r="B360" s="15">
        <v>7.27</v>
      </c>
      <c r="C360" s="58">
        <v>62.96</v>
      </c>
      <c r="D360" s="14" t="s">
        <v>9</v>
      </c>
      <c r="E360" s="14"/>
      <c r="F360" s="14"/>
    </row>
    <row r="361" spans="1:6" ht="15.75" customHeight="1" x14ac:dyDescent="0.25">
      <c r="A361" s="14">
        <v>28</v>
      </c>
      <c r="B361" s="15">
        <v>7.27</v>
      </c>
      <c r="C361" s="58">
        <v>33.450000000000003</v>
      </c>
      <c r="D361" s="14" t="s">
        <v>9</v>
      </c>
      <c r="E361" s="14"/>
      <c r="F361" s="14"/>
    </row>
    <row r="362" spans="1:6" ht="15.75" customHeight="1" x14ac:dyDescent="0.25">
      <c r="A362" s="14">
        <v>5</v>
      </c>
      <c r="B362" s="15">
        <v>7.28</v>
      </c>
      <c r="C362" s="58">
        <v>62.93</v>
      </c>
      <c r="D362" s="14" t="s">
        <v>8</v>
      </c>
      <c r="E362" s="14"/>
      <c r="F362" s="14"/>
    </row>
    <row r="363" spans="1:6" ht="15.75" customHeight="1" x14ac:dyDescent="0.25">
      <c r="A363" s="14">
        <v>5</v>
      </c>
      <c r="B363" s="15">
        <v>7.29</v>
      </c>
      <c r="C363" s="58">
        <v>36.71</v>
      </c>
      <c r="D363" s="14" t="s">
        <v>9</v>
      </c>
      <c r="E363" s="14"/>
      <c r="F363" s="14"/>
    </row>
    <row r="364" spans="1:6" ht="15.75" customHeight="1" x14ac:dyDescent="0.25">
      <c r="A364" s="14">
        <v>32</v>
      </c>
      <c r="B364" s="15">
        <v>7.3</v>
      </c>
      <c r="C364" s="58">
        <v>101.92</v>
      </c>
      <c r="D364" s="14" t="s">
        <v>9</v>
      </c>
      <c r="E364" s="14"/>
      <c r="F364" s="14"/>
    </row>
    <row r="365" spans="1:6" ht="15.75" customHeight="1" x14ac:dyDescent="0.25">
      <c r="A365" s="14">
        <v>19</v>
      </c>
      <c r="B365" s="15">
        <v>7.3</v>
      </c>
      <c r="C365" s="58">
        <v>66.13</v>
      </c>
      <c r="D365" s="14" t="s">
        <v>9</v>
      </c>
      <c r="E365" s="14"/>
      <c r="F365" s="14"/>
    </row>
    <row r="366" spans="1:6" ht="15.75" customHeight="1" x14ac:dyDescent="0.25">
      <c r="A366" s="14">
        <v>31</v>
      </c>
      <c r="B366" s="15">
        <v>7.3</v>
      </c>
      <c r="C366" s="58">
        <v>63.35</v>
      </c>
      <c r="D366" s="14" t="s">
        <v>9</v>
      </c>
      <c r="E366" s="14"/>
      <c r="F366" s="14"/>
    </row>
    <row r="367" spans="1:6" ht="15.75" customHeight="1" x14ac:dyDescent="0.25">
      <c r="A367" s="14">
        <v>26</v>
      </c>
      <c r="B367" s="15">
        <v>7.31</v>
      </c>
      <c r="C367" s="58">
        <v>62.13</v>
      </c>
      <c r="D367" s="14" t="s">
        <v>8</v>
      </c>
      <c r="E367" s="14"/>
      <c r="F367" s="14"/>
    </row>
    <row r="368" spans="1:6" ht="15.75" customHeight="1" x14ac:dyDescent="0.25">
      <c r="A368" s="14">
        <v>20</v>
      </c>
      <c r="B368" s="15">
        <v>7.31</v>
      </c>
      <c r="C368" s="58">
        <v>57.02</v>
      </c>
      <c r="D368" s="14" t="s">
        <v>8</v>
      </c>
      <c r="E368" s="14"/>
      <c r="F368" s="14"/>
    </row>
    <row r="369" spans="1:6" ht="15.75" customHeight="1" x14ac:dyDescent="0.25">
      <c r="A369" s="14">
        <v>18</v>
      </c>
      <c r="B369" s="15">
        <v>7.31</v>
      </c>
      <c r="C369" s="58">
        <v>53.57</v>
      </c>
      <c r="D369" s="14" t="s">
        <v>9</v>
      </c>
      <c r="E369" s="14"/>
      <c r="F369" s="14"/>
    </row>
    <row r="370" spans="1:6" ht="15.75" customHeight="1" x14ac:dyDescent="0.25">
      <c r="A370" s="14">
        <v>38</v>
      </c>
      <c r="B370" s="15">
        <v>7.31</v>
      </c>
      <c r="C370" s="58">
        <v>51.36</v>
      </c>
      <c r="D370" s="14" t="s">
        <v>9</v>
      </c>
      <c r="E370" s="14"/>
      <c r="F370" s="14"/>
    </row>
    <row r="371" spans="1:6" ht="15.75" customHeight="1" x14ac:dyDescent="0.25">
      <c r="A371" s="14">
        <v>42</v>
      </c>
      <c r="B371" s="15">
        <v>7.33</v>
      </c>
      <c r="C371" s="58">
        <v>84.13</v>
      </c>
      <c r="D371" s="14" t="s">
        <v>9</v>
      </c>
      <c r="E371" s="14"/>
      <c r="F371" s="14"/>
    </row>
    <row r="372" spans="1:6" ht="15.75" customHeight="1" x14ac:dyDescent="0.25">
      <c r="A372" s="14">
        <v>6</v>
      </c>
      <c r="B372" s="15">
        <v>7.33</v>
      </c>
      <c r="C372" s="58">
        <v>71.599999999999994</v>
      </c>
      <c r="D372" s="14" t="s">
        <v>9</v>
      </c>
      <c r="E372" s="14"/>
      <c r="F372" s="14"/>
    </row>
    <row r="373" spans="1:6" ht="15.75" customHeight="1" x14ac:dyDescent="0.25">
      <c r="A373" s="14">
        <v>31</v>
      </c>
      <c r="B373" s="15">
        <v>7.33</v>
      </c>
      <c r="C373" s="58">
        <v>57</v>
      </c>
      <c r="D373" s="14" t="s">
        <v>8</v>
      </c>
      <c r="E373" s="14"/>
      <c r="F373" s="14"/>
    </row>
    <row r="374" spans="1:6" ht="15.75" customHeight="1" x14ac:dyDescent="0.25">
      <c r="A374" s="14">
        <v>38</v>
      </c>
      <c r="B374" s="15">
        <v>7.34</v>
      </c>
      <c r="C374" s="58">
        <v>56.7</v>
      </c>
      <c r="D374" s="14" t="s">
        <v>8</v>
      </c>
      <c r="E374" s="14"/>
      <c r="F374" s="14"/>
    </row>
    <row r="375" spans="1:6" ht="15.75" customHeight="1" x14ac:dyDescent="0.25">
      <c r="A375" s="14">
        <v>20</v>
      </c>
      <c r="B375" s="15">
        <v>7.36</v>
      </c>
      <c r="C375" s="58">
        <v>80.430000000000007</v>
      </c>
      <c r="D375" s="14" t="s">
        <v>8</v>
      </c>
      <c r="E375" s="14"/>
      <c r="F375" s="14"/>
    </row>
    <row r="376" spans="1:6" ht="15.75" customHeight="1" x14ac:dyDescent="0.25">
      <c r="A376" s="14">
        <v>26</v>
      </c>
      <c r="B376" s="15">
        <v>7.37</v>
      </c>
      <c r="C376" s="58">
        <v>69.61</v>
      </c>
      <c r="D376" s="14" t="s">
        <v>8</v>
      </c>
      <c r="E376" s="14"/>
      <c r="F376" s="14"/>
    </row>
    <row r="377" spans="1:6" ht="15.75" customHeight="1" x14ac:dyDescent="0.25">
      <c r="A377" s="14">
        <v>35</v>
      </c>
      <c r="B377" s="15">
        <v>7.37</v>
      </c>
      <c r="C377" s="58">
        <v>57.9</v>
      </c>
      <c r="D377" s="14" t="s">
        <v>8</v>
      </c>
      <c r="E377" s="14"/>
      <c r="F377" s="14"/>
    </row>
    <row r="378" spans="1:6" ht="15.75" customHeight="1" x14ac:dyDescent="0.25">
      <c r="A378" s="14">
        <v>49</v>
      </c>
      <c r="B378" s="15">
        <v>7.37</v>
      </c>
      <c r="C378" s="58">
        <v>47.75</v>
      </c>
      <c r="D378" s="14" t="s">
        <v>9</v>
      </c>
      <c r="E378" s="14"/>
      <c r="F378" s="14"/>
    </row>
    <row r="379" spans="1:6" ht="15.75" customHeight="1" x14ac:dyDescent="0.25">
      <c r="A379" s="14">
        <v>25</v>
      </c>
      <c r="B379" s="15">
        <v>7.37</v>
      </c>
      <c r="C379" s="58">
        <v>19.02</v>
      </c>
      <c r="D379" s="14" t="s">
        <v>9</v>
      </c>
      <c r="E379" s="14"/>
      <c r="F379" s="14"/>
    </row>
    <row r="380" spans="1:6" ht="15.75" customHeight="1" x14ac:dyDescent="0.25">
      <c r="A380" s="14">
        <v>32</v>
      </c>
      <c r="B380" s="15">
        <v>7.38</v>
      </c>
      <c r="C380" s="58">
        <v>75.75</v>
      </c>
      <c r="D380" s="14" t="s">
        <v>9</v>
      </c>
      <c r="E380" s="14"/>
      <c r="F380" s="14"/>
    </row>
    <row r="381" spans="1:6" ht="15.75" customHeight="1" x14ac:dyDescent="0.25">
      <c r="A381" s="14">
        <v>29</v>
      </c>
      <c r="B381" s="15">
        <v>7.38</v>
      </c>
      <c r="C381" s="58">
        <v>26.08</v>
      </c>
      <c r="D381" s="14" t="s">
        <v>8</v>
      </c>
      <c r="E381" s="14"/>
      <c r="F381" s="14"/>
    </row>
    <row r="382" spans="1:6" ht="15.75" customHeight="1" x14ac:dyDescent="0.25">
      <c r="A382" s="14">
        <v>28</v>
      </c>
      <c r="B382" s="15">
        <v>7.41</v>
      </c>
      <c r="C382" s="58">
        <v>86.46</v>
      </c>
      <c r="D382" s="14" t="s">
        <v>8</v>
      </c>
      <c r="E382" s="14"/>
      <c r="F382" s="14"/>
    </row>
    <row r="383" spans="1:6" ht="15.75" customHeight="1" x14ac:dyDescent="0.25">
      <c r="A383" s="14">
        <v>15</v>
      </c>
      <c r="B383" s="15">
        <v>7.42</v>
      </c>
      <c r="C383" s="58">
        <v>53.4</v>
      </c>
      <c r="D383" s="14" t="s">
        <v>9</v>
      </c>
      <c r="E383" s="14"/>
      <c r="F383" s="14"/>
    </row>
    <row r="384" spans="1:6" ht="15.75" customHeight="1" x14ac:dyDescent="0.25">
      <c r="A384" s="14">
        <v>51</v>
      </c>
      <c r="B384" s="15">
        <v>7.45</v>
      </c>
      <c r="C384" s="58">
        <v>62.85</v>
      </c>
      <c r="D384" s="14" t="s">
        <v>9</v>
      </c>
      <c r="E384" s="14"/>
      <c r="F384" s="14"/>
    </row>
    <row r="385" spans="1:6" ht="15.75" customHeight="1" x14ac:dyDescent="0.25">
      <c r="A385" s="14">
        <v>7</v>
      </c>
      <c r="B385" s="15">
        <v>7.45</v>
      </c>
      <c r="C385" s="58">
        <v>57.16</v>
      </c>
      <c r="D385" s="14" t="s">
        <v>8</v>
      </c>
      <c r="E385" s="14"/>
      <c r="F385" s="14"/>
    </row>
    <row r="386" spans="1:6" ht="15.75" customHeight="1" x14ac:dyDescent="0.25">
      <c r="A386" s="14">
        <v>51</v>
      </c>
      <c r="B386" s="15">
        <v>7.45</v>
      </c>
      <c r="C386" s="58">
        <v>35.75</v>
      </c>
      <c r="D386" s="14" t="s">
        <v>9</v>
      </c>
      <c r="E386" s="14"/>
      <c r="F386" s="14"/>
    </row>
    <row r="387" spans="1:6" ht="15.75" customHeight="1" x14ac:dyDescent="0.25">
      <c r="A387" s="14">
        <v>35</v>
      </c>
      <c r="B387" s="15">
        <v>7.46</v>
      </c>
      <c r="C387" s="58">
        <v>55.88</v>
      </c>
      <c r="D387" s="14" t="s">
        <v>9</v>
      </c>
      <c r="E387" s="14"/>
      <c r="F387" s="14"/>
    </row>
    <row r="388" spans="1:6" ht="15.75" customHeight="1" x14ac:dyDescent="0.25">
      <c r="A388" s="14">
        <v>31</v>
      </c>
      <c r="B388" s="15">
        <v>7.46</v>
      </c>
      <c r="C388" s="58">
        <v>52.4</v>
      </c>
      <c r="D388" s="14" t="s">
        <v>9</v>
      </c>
      <c r="E388" s="14"/>
      <c r="F388" s="14"/>
    </row>
    <row r="389" spans="1:6" ht="15.75" customHeight="1" x14ac:dyDescent="0.25">
      <c r="A389" s="14">
        <v>32</v>
      </c>
      <c r="B389" s="15">
        <v>7.48</v>
      </c>
      <c r="C389" s="58">
        <v>49.8</v>
      </c>
      <c r="D389" s="14" t="s">
        <v>9</v>
      </c>
      <c r="E389" s="14"/>
      <c r="F389" s="14"/>
    </row>
    <row r="390" spans="1:6" ht="15.75" customHeight="1" x14ac:dyDescent="0.25">
      <c r="A390" s="14">
        <v>6</v>
      </c>
      <c r="B390" s="15">
        <v>7.52</v>
      </c>
      <c r="C390" s="58">
        <v>63.74</v>
      </c>
      <c r="D390" s="14" t="s">
        <v>8</v>
      </c>
      <c r="E390" s="14"/>
      <c r="F390" s="14"/>
    </row>
    <row r="391" spans="1:6" ht="15.75" customHeight="1" x14ac:dyDescent="0.25">
      <c r="A391" s="14">
        <v>42</v>
      </c>
      <c r="B391" s="15">
        <v>7.52</v>
      </c>
      <c r="C391" s="58">
        <v>54.57</v>
      </c>
      <c r="D391" s="14" t="s">
        <v>8</v>
      </c>
      <c r="E391" s="14"/>
      <c r="F391" s="14"/>
    </row>
    <row r="392" spans="1:6" ht="15.75" customHeight="1" x14ac:dyDescent="0.25">
      <c r="A392" s="14">
        <v>18</v>
      </c>
      <c r="B392" s="15">
        <v>7.54</v>
      </c>
      <c r="C392" s="58">
        <v>75.03</v>
      </c>
      <c r="D392" s="14" t="s">
        <v>8</v>
      </c>
      <c r="E392" s="14"/>
      <c r="F392" s="14"/>
    </row>
    <row r="393" spans="1:6" ht="15.75" customHeight="1" x14ac:dyDescent="0.25">
      <c r="A393" s="14">
        <v>23</v>
      </c>
      <c r="B393" s="15">
        <v>7.55</v>
      </c>
      <c r="C393" s="58">
        <v>92.22</v>
      </c>
      <c r="D393" s="14" t="s">
        <v>9</v>
      </c>
      <c r="E393" s="14"/>
      <c r="F393" s="14"/>
    </row>
    <row r="394" spans="1:6" ht="15.75" customHeight="1" x14ac:dyDescent="0.25">
      <c r="A394" s="14">
        <v>18</v>
      </c>
      <c r="B394" s="15">
        <v>7.57</v>
      </c>
      <c r="C394" s="58">
        <v>73.78</v>
      </c>
      <c r="D394" s="14" t="s">
        <v>9</v>
      </c>
      <c r="E394" s="14"/>
      <c r="F394" s="14"/>
    </row>
    <row r="395" spans="1:6" ht="15.75" customHeight="1" x14ac:dyDescent="0.25">
      <c r="A395" s="14">
        <v>28</v>
      </c>
      <c r="B395" s="15">
        <v>7.58</v>
      </c>
      <c r="C395" s="58">
        <v>54.71</v>
      </c>
      <c r="D395" s="14" t="s">
        <v>9</v>
      </c>
      <c r="E395" s="14"/>
      <c r="F395" s="14"/>
    </row>
    <row r="396" spans="1:6" ht="15.75" customHeight="1" x14ac:dyDescent="0.25">
      <c r="A396" s="14">
        <v>54</v>
      </c>
      <c r="B396" s="15">
        <v>7.58</v>
      </c>
      <c r="C396" s="58">
        <v>44.09</v>
      </c>
      <c r="D396" s="14" t="s">
        <v>8</v>
      </c>
      <c r="E396" s="14"/>
      <c r="F396" s="14"/>
    </row>
    <row r="397" spans="1:6" ht="15.75" customHeight="1" x14ac:dyDescent="0.25">
      <c r="A397" s="14">
        <v>47</v>
      </c>
      <c r="B397" s="15">
        <v>7.59</v>
      </c>
      <c r="C397" s="58">
        <v>83.57</v>
      </c>
      <c r="D397" s="14" t="s">
        <v>8</v>
      </c>
      <c r="E397" s="14"/>
      <c r="F397" s="14"/>
    </row>
    <row r="398" spans="1:6" ht="15.75" customHeight="1" x14ac:dyDescent="0.25">
      <c r="A398" s="14">
        <v>19</v>
      </c>
      <c r="B398" s="15">
        <v>7.59</v>
      </c>
      <c r="C398" s="58">
        <v>58.01</v>
      </c>
      <c r="D398" s="14" t="s">
        <v>8</v>
      </c>
      <c r="E398" s="14"/>
      <c r="F398" s="14"/>
    </row>
    <row r="399" spans="1:6" ht="15.75" customHeight="1" x14ac:dyDescent="0.25">
      <c r="A399" s="14">
        <v>28</v>
      </c>
      <c r="B399" s="15">
        <v>7.6</v>
      </c>
      <c r="C399" s="58">
        <v>73.75</v>
      </c>
      <c r="D399" s="14" t="s">
        <v>8</v>
      </c>
      <c r="E399" s="14"/>
      <c r="F399" s="14"/>
    </row>
    <row r="400" spans="1:6" ht="15.75" customHeight="1" x14ac:dyDescent="0.25">
      <c r="A400" s="14">
        <v>33</v>
      </c>
      <c r="B400" s="15">
        <v>7.6</v>
      </c>
      <c r="C400" s="58">
        <v>50.29</v>
      </c>
      <c r="D400" s="14" t="s">
        <v>8</v>
      </c>
      <c r="E400" s="14"/>
      <c r="F400" s="14"/>
    </row>
    <row r="401" spans="1:6" ht="15.75" customHeight="1" x14ac:dyDescent="0.25">
      <c r="A401" s="14">
        <v>22</v>
      </c>
      <c r="B401" s="15">
        <v>7.66</v>
      </c>
      <c r="C401" s="58">
        <v>69.86</v>
      </c>
      <c r="D401" s="14" t="s">
        <v>9</v>
      </c>
      <c r="E401" s="14"/>
      <c r="F401" s="14"/>
    </row>
    <row r="402" spans="1:6" ht="15.75" customHeight="1" x14ac:dyDescent="0.25">
      <c r="A402" s="14">
        <v>5</v>
      </c>
      <c r="B402" s="15">
        <v>7.66</v>
      </c>
      <c r="C402" s="58">
        <v>69.099999999999994</v>
      </c>
      <c r="D402" s="14" t="s">
        <v>9</v>
      </c>
      <c r="E402" s="14"/>
      <c r="F402" s="14"/>
    </row>
    <row r="403" spans="1:6" ht="15.75" customHeight="1" x14ac:dyDescent="0.25">
      <c r="A403" s="14">
        <v>42</v>
      </c>
      <c r="B403" s="15">
        <v>7.67</v>
      </c>
      <c r="C403" s="58">
        <v>58.01</v>
      </c>
      <c r="D403" s="14" t="s">
        <v>9</v>
      </c>
      <c r="E403" s="14"/>
      <c r="F403" s="14"/>
    </row>
    <row r="404" spans="1:6" ht="15.75" customHeight="1" x14ac:dyDescent="0.25">
      <c r="A404" s="14">
        <v>42</v>
      </c>
      <c r="B404" s="15">
        <v>7.68</v>
      </c>
      <c r="C404" s="58">
        <v>70.06</v>
      </c>
      <c r="D404" s="14" t="s">
        <v>8</v>
      </c>
      <c r="E404" s="14"/>
      <c r="F404" s="14"/>
    </row>
    <row r="405" spans="1:6" ht="15.75" customHeight="1" x14ac:dyDescent="0.25">
      <c r="A405" s="14">
        <v>35</v>
      </c>
      <c r="B405" s="15">
        <v>7.69</v>
      </c>
      <c r="C405" s="58">
        <v>81.08</v>
      </c>
      <c r="D405" s="14" t="s">
        <v>8</v>
      </c>
      <c r="E405" s="14"/>
      <c r="F405" s="14"/>
    </row>
    <row r="406" spans="1:6" ht="15.75" customHeight="1" x14ac:dyDescent="0.25">
      <c r="A406" s="14">
        <v>20</v>
      </c>
      <c r="B406" s="15">
        <v>7.69</v>
      </c>
      <c r="C406" s="58">
        <v>57.42</v>
      </c>
      <c r="D406" s="14" t="s">
        <v>9</v>
      </c>
      <c r="E406" s="14"/>
      <c r="F406" s="14"/>
    </row>
    <row r="407" spans="1:6" ht="15.75" customHeight="1" x14ac:dyDescent="0.25">
      <c r="A407" s="14">
        <v>17</v>
      </c>
      <c r="B407" s="15">
        <v>7.7</v>
      </c>
      <c r="C407" s="58">
        <v>61.02</v>
      </c>
      <c r="D407" s="14" t="s">
        <v>9</v>
      </c>
      <c r="E407" s="14"/>
      <c r="F407" s="14"/>
    </row>
    <row r="408" spans="1:6" ht="15.75" customHeight="1" x14ac:dyDescent="0.25">
      <c r="A408" s="14">
        <v>27</v>
      </c>
      <c r="B408" s="15">
        <v>7.7</v>
      </c>
      <c r="C408" s="58">
        <v>53.96</v>
      </c>
      <c r="D408" s="14" t="s">
        <v>8</v>
      </c>
      <c r="E408" s="14"/>
      <c r="F408" s="14"/>
    </row>
    <row r="409" spans="1:6" ht="15.75" customHeight="1" x14ac:dyDescent="0.25">
      <c r="A409" s="14">
        <v>3</v>
      </c>
      <c r="B409" s="15">
        <v>7.71</v>
      </c>
      <c r="C409" s="58">
        <v>67.36</v>
      </c>
      <c r="D409" s="14" t="s">
        <v>8</v>
      </c>
      <c r="E409" s="14"/>
      <c r="F409" s="14"/>
    </row>
    <row r="410" spans="1:6" ht="15.75" customHeight="1" x14ac:dyDescent="0.25">
      <c r="A410" s="14">
        <v>24</v>
      </c>
      <c r="B410" s="15">
        <v>7.72</v>
      </c>
      <c r="C410" s="58">
        <v>31.75</v>
      </c>
      <c r="D410" s="14" t="s">
        <v>9</v>
      </c>
      <c r="E410" s="14"/>
      <c r="F410" s="14"/>
    </row>
    <row r="411" spans="1:6" ht="15.75" customHeight="1" x14ac:dyDescent="0.25">
      <c r="A411" s="14">
        <v>19</v>
      </c>
      <c r="B411" s="15">
        <v>7.73</v>
      </c>
      <c r="C411" s="58">
        <v>75.430000000000007</v>
      </c>
      <c r="D411" s="14" t="s">
        <v>9</v>
      </c>
      <c r="E411" s="14"/>
      <c r="F411" s="14"/>
    </row>
    <row r="412" spans="1:6" ht="15.75" customHeight="1" x14ac:dyDescent="0.25">
      <c r="A412" s="14">
        <v>14</v>
      </c>
      <c r="B412" s="15">
        <v>7.73</v>
      </c>
      <c r="C412" s="58">
        <v>66.22</v>
      </c>
      <c r="D412" s="14" t="s">
        <v>9</v>
      </c>
      <c r="E412" s="14"/>
      <c r="F412" s="14"/>
    </row>
    <row r="413" spans="1:6" ht="15.75" customHeight="1" x14ac:dyDescent="0.25">
      <c r="A413" s="14">
        <v>7</v>
      </c>
      <c r="B413" s="15">
        <v>7.75</v>
      </c>
      <c r="C413" s="58">
        <v>54.28</v>
      </c>
      <c r="D413" s="14" t="s">
        <v>8</v>
      </c>
      <c r="E413" s="14"/>
      <c r="F413" s="14"/>
    </row>
    <row r="414" spans="1:6" ht="15.75" customHeight="1" x14ac:dyDescent="0.25">
      <c r="A414" s="14">
        <v>2</v>
      </c>
      <c r="B414" s="15">
        <v>7.76</v>
      </c>
      <c r="C414" s="58">
        <v>36.99</v>
      </c>
      <c r="D414" s="14" t="s">
        <v>9</v>
      </c>
      <c r="E414" s="14"/>
      <c r="F414" s="14"/>
    </row>
    <row r="415" spans="1:6" ht="15.75" customHeight="1" x14ac:dyDescent="0.25">
      <c r="A415" s="14">
        <v>19</v>
      </c>
      <c r="B415" s="15">
        <v>7.79</v>
      </c>
      <c r="C415" s="58">
        <v>34.770000000000003</v>
      </c>
      <c r="D415" s="14" t="s">
        <v>9</v>
      </c>
      <c r="E415" s="14"/>
      <c r="F415" s="14"/>
    </row>
    <row r="416" spans="1:6" ht="15.75" customHeight="1" x14ac:dyDescent="0.25">
      <c r="A416" s="14">
        <v>26</v>
      </c>
      <c r="B416" s="15">
        <v>7.81</v>
      </c>
      <c r="C416" s="58">
        <v>71.47</v>
      </c>
      <c r="D416" s="14" t="s">
        <v>9</v>
      </c>
      <c r="E416" s="14"/>
      <c r="F416" s="14"/>
    </row>
    <row r="417" spans="1:6" ht="15.75" customHeight="1" x14ac:dyDescent="0.25">
      <c r="A417" s="14">
        <v>38</v>
      </c>
      <c r="B417" s="15">
        <v>7.81</v>
      </c>
      <c r="C417" s="58">
        <v>44.39</v>
      </c>
      <c r="D417" s="14" t="s">
        <v>9</v>
      </c>
      <c r="E417" s="14"/>
      <c r="F417" s="14"/>
    </row>
    <row r="418" spans="1:6" ht="15.75" customHeight="1" x14ac:dyDescent="0.25">
      <c r="A418" s="14">
        <v>20</v>
      </c>
      <c r="B418" s="15">
        <v>7.84</v>
      </c>
      <c r="C418" s="58">
        <v>63.91</v>
      </c>
      <c r="D418" s="14" t="s">
        <v>9</v>
      </c>
      <c r="E418" s="14"/>
      <c r="F418" s="14"/>
    </row>
    <row r="419" spans="1:6" ht="15.75" customHeight="1" x14ac:dyDescent="0.25">
      <c r="A419" s="14">
        <v>21</v>
      </c>
      <c r="B419" s="15">
        <v>7.87</v>
      </c>
      <c r="C419" s="58">
        <v>55.21</v>
      </c>
      <c r="D419" s="14" t="s">
        <v>9</v>
      </c>
      <c r="E419" s="14"/>
      <c r="F419" s="14"/>
    </row>
    <row r="420" spans="1:6" ht="15.75" customHeight="1" x14ac:dyDescent="0.25">
      <c r="A420" s="14">
        <v>13</v>
      </c>
      <c r="B420" s="15">
        <v>7.88</v>
      </c>
      <c r="C420" s="58">
        <v>67.95</v>
      </c>
      <c r="D420" s="14" t="s">
        <v>9</v>
      </c>
      <c r="E420" s="14"/>
      <c r="F420" s="14"/>
    </row>
    <row r="421" spans="1:6" ht="15.75" customHeight="1" x14ac:dyDescent="0.25">
      <c r="A421" s="14">
        <v>24</v>
      </c>
      <c r="B421" s="15">
        <v>7.9</v>
      </c>
      <c r="C421" s="58">
        <v>65.95</v>
      </c>
      <c r="D421" s="14" t="s">
        <v>8</v>
      </c>
      <c r="E421" s="14"/>
      <c r="F421" s="14"/>
    </row>
    <row r="422" spans="1:6" ht="15.75" customHeight="1" x14ac:dyDescent="0.25">
      <c r="A422" s="14">
        <v>29</v>
      </c>
      <c r="B422" s="15">
        <v>7.9</v>
      </c>
      <c r="C422" s="58">
        <v>41.49</v>
      </c>
      <c r="D422" s="14" t="s">
        <v>9</v>
      </c>
      <c r="E422" s="14"/>
      <c r="F422" s="14"/>
    </row>
    <row r="423" spans="1:6" ht="15.75" customHeight="1" x14ac:dyDescent="0.25">
      <c r="A423" s="14">
        <v>7</v>
      </c>
      <c r="B423" s="15">
        <v>7.91</v>
      </c>
      <c r="C423" s="58">
        <v>66.209999999999994</v>
      </c>
      <c r="D423" s="14" t="s">
        <v>8</v>
      </c>
      <c r="E423" s="14"/>
      <c r="F423" s="14"/>
    </row>
    <row r="424" spans="1:6" ht="15.75" customHeight="1" x14ac:dyDescent="0.25">
      <c r="A424" s="14">
        <v>17</v>
      </c>
      <c r="B424" s="15">
        <v>7.93</v>
      </c>
      <c r="C424" s="58">
        <v>61.63</v>
      </c>
      <c r="D424" s="14" t="s">
        <v>9</v>
      </c>
      <c r="E424" s="14"/>
      <c r="F424" s="14"/>
    </row>
    <row r="425" spans="1:6" ht="15.75" customHeight="1" x14ac:dyDescent="0.25">
      <c r="A425" s="14">
        <v>1</v>
      </c>
      <c r="B425" s="15">
        <v>7.93</v>
      </c>
      <c r="C425" s="58">
        <v>53.17</v>
      </c>
      <c r="D425" s="14" t="s">
        <v>9</v>
      </c>
      <c r="E425" s="14"/>
      <c r="F425" s="14"/>
    </row>
    <row r="426" spans="1:6" ht="15.75" customHeight="1" x14ac:dyDescent="0.25">
      <c r="A426" s="14">
        <v>14</v>
      </c>
      <c r="B426" s="15">
        <v>7.95</v>
      </c>
      <c r="C426" s="58">
        <v>85.03</v>
      </c>
      <c r="D426" s="14" t="s">
        <v>8</v>
      </c>
      <c r="E426" s="14"/>
      <c r="F426" s="14"/>
    </row>
    <row r="427" spans="1:6" ht="15.75" customHeight="1" x14ac:dyDescent="0.25">
      <c r="A427" s="14">
        <v>20</v>
      </c>
      <c r="B427" s="15">
        <v>7.97</v>
      </c>
      <c r="C427" s="58">
        <v>104.75</v>
      </c>
      <c r="D427" s="14" t="s">
        <v>9</v>
      </c>
      <c r="E427" s="14"/>
      <c r="F427" s="14"/>
    </row>
    <row r="428" spans="1:6" ht="15.75" customHeight="1" x14ac:dyDescent="0.25">
      <c r="A428" s="14">
        <v>28</v>
      </c>
      <c r="B428" s="15">
        <v>7.97</v>
      </c>
      <c r="C428" s="58">
        <v>52.97</v>
      </c>
      <c r="D428" s="14" t="s">
        <v>8</v>
      </c>
      <c r="E428" s="14"/>
      <c r="F428" s="14"/>
    </row>
    <row r="429" spans="1:6" ht="15.75" customHeight="1" x14ac:dyDescent="0.25">
      <c r="A429" s="14">
        <v>25</v>
      </c>
      <c r="B429" s="15">
        <v>7.98</v>
      </c>
      <c r="C429" s="58">
        <v>66.28</v>
      </c>
      <c r="D429" s="14" t="s">
        <v>8</v>
      </c>
      <c r="E429" s="14"/>
      <c r="F429" s="14"/>
    </row>
    <row r="430" spans="1:6" ht="15.75" customHeight="1" x14ac:dyDescent="0.25">
      <c r="A430" s="14">
        <v>39</v>
      </c>
      <c r="B430" s="15">
        <v>7.98</v>
      </c>
      <c r="C430" s="58">
        <v>55.94</v>
      </c>
      <c r="D430" s="14" t="s">
        <v>9</v>
      </c>
      <c r="E430" s="14"/>
      <c r="F430" s="14"/>
    </row>
    <row r="431" spans="1:6" ht="15.75" customHeight="1" x14ac:dyDescent="0.25">
      <c r="A431" s="14">
        <v>32</v>
      </c>
      <c r="B431" s="15">
        <v>8</v>
      </c>
      <c r="C431" s="58">
        <v>62.46</v>
      </c>
      <c r="D431" s="14" t="s">
        <v>9</v>
      </c>
      <c r="E431" s="14"/>
      <c r="F431" s="14"/>
    </row>
    <row r="432" spans="1:6" ht="15.75" customHeight="1" x14ac:dyDescent="0.25">
      <c r="A432" s="14">
        <v>10</v>
      </c>
      <c r="B432" s="15">
        <v>8.02</v>
      </c>
      <c r="C432" s="58">
        <v>79.25</v>
      </c>
      <c r="D432" s="14" t="s">
        <v>9</v>
      </c>
      <c r="E432" s="14"/>
      <c r="F432" s="14"/>
    </row>
    <row r="433" spans="1:6" ht="15.75" customHeight="1" x14ac:dyDescent="0.25">
      <c r="A433" s="14">
        <v>39</v>
      </c>
      <c r="B433" s="15">
        <v>8.02</v>
      </c>
      <c r="C433" s="58">
        <v>62.53</v>
      </c>
      <c r="D433" s="14" t="s">
        <v>8</v>
      </c>
      <c r="E433" s="14"/>
      <c r="F433" s="14"/>
    </row>
    <row r="434" spans="1:6" ht="15.75" customHeight="1" x14ac:dyDescent="0.25">
      <c r="A434" s="14">
        <v>25</v>
      </c>
      <c r="B434" s="15">
        <v>8.0399999999999991</v>
      </c>
      <c r="C434" s="58">
        <v>110.48</v>
      </c>
      <c r="D434" s="14" t="s">
        <v>9</v>
      </c>
      <c r="E434" s="14"/>
      <c r="F434" s="14"/>
    </row>
    <row r="435" spans="1:6" ht="15.75" customHeight="1" x14ac:dyDescent="0.25">
      <c r="A435" s="14">
        <v>53</v>
      </c>
      <c r="B435" s="15">
        <v>8.0500000000000007</v>
      </c>
      <c r="C435" s="58">
        <v>99.96</v>
      </c>
      <c r="D435" s="14" t="s">
        <v>9</v>
      </c>
      <c r="E435" s="14"/>
      <c r="F435" s="14"/>
    </row>
    <row r="436" spans="1:6" ht="15.75" customHeight="1" x14ac:dyDescent="0.25">
      <c r="A436" s="14">
        <v>64</v>
      </c>
      <c r="B436" s="15">
        <v>8.08</v>
      </c>
      <c r="C436" s="58">
        <v>89.18</v>
      </c>
      <c r="D436" s="14" t="s">
        <v>9</v>
      </c>
      <c r="E436" s="14"/>
      <c r="F436" s="14"/>
    </row>
    <row r="437" spans="1:6" ht="15.75" customHeight="1" x14ac:dyDescent="0.25">
      <c r="A437" s="14">
        <v>35</v>
      </c>
      <c r="B437" s="15">
        <v>8.08</v>
      </c>
      <c r="C437" s="58">
        <v>53.62</v>
      </c>
      <c r="D437" s="14" t="s">
        <v>9</v>
      </c>
      <c r="E437" s="14"/>
      <c r="F437" s="14"/>
    </row>
    <row r="438" spans="1:6" ht="15.75" customHeight="1" x14ac:dyDescent="0.25">
      <c r="A438" s="14">
        <v>18</v>
      </c>
      <c r="B438" s="15">
        <v>8.1</v>
      </c>
      <c r="C438" s="58">
        <v>77.16</v>
      </c>
      <c r="D438" s="14" t="s">
        <v>8</v>
      </c>
      <c r="E438" s="14"/>
      <c r="F438" s="14"/>
    </row>
    <row r="439" spans="1:6" ht="15.75" customHeight="1" x14ac:dyDescent="0.25">
      <c r="A439" s="14">
        <v>22</v>
      </c>
      <c r="B439" s="15">
        <v>8.1</v>
      </c>
      <c r="C439" s="58">
        <v>65.84</v>
      </c>
      <c r="D439" s="14" t="s">
        <v>9</v>
      </c>
      <c r="E439" s="14"/>
      <c r="F439" s="14"/>
    </row>
    <row r="440" spans="1:6" ht="15.75" customHeight="1" x14ac:dyDescent="0.25">
      <c r="A440" s="14">
        <v>36</v>
      </c>
      <c r="B440" s="15">
        <v>8.11</v>
      </c>
      <c r="C440" s="58">
        <v>81.53</v>
      </c>
      <c r="D440" s="14" t="s">
        <v>9</v>
      </c>
      <c r="E440" s="14"/>
      <c r="F440" s="14"/>
    </row>
    <row r="441" spans="1:6" ht="15.75" customHeight="1" x14ac:dyDescent="0.25">
      <c r="A441" s="14">
        <v>9</v>
      </c>
      <c r="B441" s="15">
        <v>8.1199999999999992</v>
      </c>
      <c r="C441" s="58">
        <v>89.07</v>
      </c>
      <c r="D441" s="14" t="s">
        <v>9</v>
      </c>
      <c r="E441" s="14"/>
      <c r="F441" s="14"/>
    </row>
    <row r="442" spans="1:6" ht="15.75" customHeight="1" x14ac:dyDescent="0.25">
      <c r="A442" s="14">
        <v>3</v>
      </c>
      <c r="B442" s="15">
        <v>8.1199999999999992</v>
      </c>
      <c r="C442" s="58">
        <v>72.25</v>
      </c>
      <c r="D442" s="14" t="s">
        <v>8</v>
      </c>
      <c r="E442" s="14"/>
      <c r="F442" s="14"/>
    </row>
    <row r="443" spans="1:6" ht="15.75" customHeight="1" x14ac:dyDescent="0.25">
      <c r="A443" s="14">
        <v>14</v>
      </c>
      <c r="B443" s="15">
        <v>8.1199999999999992</v>
      </c>
      <c r="C443" s="58">
        <v>35.380000000000003</v>
      </c>
      <c r="D443" s="14" t="s">
        <v>9</v>
      </c>
      <c r="E443" s="14"/>
      <c r="F443" s="14"/>
    </row>
    <row r="444" spans="1:6" ht="15.75" customHeight="1" x14ac:dyDescent="0.25">
      <c r="A444" s="14">
        <v>46</v>
      </c>
      <c r="B444" s="15">
        <v>8.14</v>
      </c>
      <c r="C444" s="58">
        <v>74.739999999999995</v>
      </c>
      <c r="D444" s="14" t="s">
        <v>9</v>
      </c>
      <c r="E444" s="14"/>
      <c r="F444" s="14"/>
    </row>
    <row r="445" spans="1:6" ht="15.75" customHeight="1" x14ac:dyDescent="0.25">
      <c r="A445" s="14">
        <v>26</v>
      </c>
      <c r="B445" s="15">
        <v>8.14</v>
      </c>
      <c r="C445" s="58">
        <v>63.07</v>
      </c>
      <c r="D445" s="14" t="s">
        <v>8</v>
      </c>
      <c r="E445" s="14"/>
      <c r="F445" s="14"/>
    </row>
    <row r="446" spans="1:6" ht="15.75" customHeight="1" x14ac:dyDescent="0.25">
      <c r="A446" s="14">
        <v>7</v>
      </c>
      <c r="B446" s="15">
        <v>8.17</v>
      </c>
      <c r="C446" s="58">
        <v>65.260000000000005</v>
      </c>
      <c r="D446" s="14" t="s">
        <v>9</v>
      </c>
      <c r="E446" s="14"/>
      <c r="F446" s="14"/>
    </row>
    <row r="447" spans="1:6" ht="15.75" customHeight="1" x14ac:dyDescent="0.25">
      <c r="A447" s="14">
        <v>23</v>
      </c>
      <c r="B447" s="15">
        <v>8.18</v>
      </c>
      <c r="C447" s="58">
        <v>92.48</v>
      </c>
      <c r="D447" s="14" t="s">
        <v>8</v>
      </c>
      <c r="E447" s="14"/>
      <c r="F447" s="14"/>
    </row>
    <row r="448" spans="1:6" ht="15.75" customHeight="1" x14ac:dyDescent="0.25">
      <c r="A448" s="14">
        <v>11</v>
      </c>
      <c r="B448" s="15">
        <v>8.19</v>
      </c>
      <c r="C448" s="58">
        <v>77.39</v>
      </c>
      <c r="D448" s="14" t="s">
        <v>9</v>
      </c>
      <c r="E448" s="14"/>
      <c r="F448" s="14"/>
    </row>
    <row r="449" spans="1:6" ht="15.75" customHeight="1" x14ac:dyDescent="0.25">
      <c r="A449" s="14">
        <v>41</v>
      </c>
      <c r="B449" s="15">
        <v>8.19</v>
      </c>
      <c r="C449" s="58">
        <v>70.88</v>
      </c>
      <c r="D449" s="14" t="s">
        <v>9</v>
      </c>
      <c r="E449" s="14"/>
      <c r="F449" s="14"/>
    </row>
    <row r="450" spans="1:6" ht="15.75" customHeight="1" x14ac:dyDescent="0.25">
      <c r="A450" s="14">
        <v>38</v>
      </c>
      <c r="B450" s="15">
        <v>8.2200000000000006</v>
      </c>
      <c r="C450" s="58">
        <v>80.31</v>
      </c>
      <c r="D450" s="14" t="s">
        <v>8</v>
      </c>
      <c r="E450" s="14"/>
      <c r="F450" s="14"/>
    </row>
    <row r="451" spans="1:6" ht="15.75" customHeight="1" x14ac:dyDescent="0.25">
      <c r="A451" s="14">
        <v>5</v>
      </c>
      <c r="B451" s="15">
        <v>8.2200000000000006</v>
      </c>
      <c r="C451" s="58">
        <v>60.49</v>
      </c>
      <c r="D451" s="14" t="s">
        <v>8</v>
      </c>
      <c r="E451" s="14"/>
      <c r="F451" s="14"/>
    </row>
    <row r="452" spans="1:6" ht="15.75" customHeight="1" x14ac:dyDescent="0.25">
      <c r="A452" s="14">
        <v>13</v>
      </c>
      <c r="B452" s="15">
        <v>8.24</v>
      </c>
      <c r="C452" s="58">
        <v>76.959999999999994</v>
      </c>
      <c r="D452" s="14" t="s">
        <v>8</v>
      </c>
      <c r="E452" s="14"/>
      <c r="F452" s="14"/>
    </row>
    <row r="453" spans="1:6" ht="15.75" customHeight="1" x14ac:dyDescent="0.25">
      <c r="A453" s="14">
        <v>30</v>
      </c>
      <c r="B453" s="15">
        <v>8.27</v>
      </c>
      <c r="C453" s="58">
        <v>46.56</v>
      </c>
      <c r="D453" s="14" t="s">
        <v>9</v>
      </c>
      <c r="E453" s="14"/>
      <c r="F453" s="14"/>
    </row>
    <row r="454" spans="1:6" ht="15.75" customHeight="1" x14ac:dyDescent="0.25">
      <c r="A454" s="14">
        <v>16</v>
      </c>
      <c r="B454" s="15">
        <v>8.2899999999999991</v>
      </c>
      <c r="C454" s="58">
        <v>115.29</v>
      </c>
      <c r="D454" s="14" t="s">
        <v>8</v>
      </c>
      <c r="E454" s="14"/>
      <c r="F454" s="14"/>
    </row>
    <row r="455" spans="1:6" ht="15.75" customHeight="1" x14ac:dyDescent="0.25">
      <c r="A455" s="14">
        <v>29</v>
      </c>
      <c r="B455" s="15">
        <v>8.2899999999999991</v>
      </c>
      <c r="C455" s="58">
        <v>50.65</v>
      </c>
      <c r="D455" s="14" t="s">
        <v>9</v>
      </c>
      <c r="E455" s="14"/>
      <c r="F455" s="14"/>
    </row>
    <row r="456" spans="1:6" ht="15.75" customHeight="1" x14ac:dyDescent="0.25">
      <c r="A456" s="14">
        <v>20</v>
      </c>
      <c r="B456" s="15">
        <v>8.31</v>
      </c>
      <c r="C456" s="58">
        <v>64.02</v>
      </c>
      <c r="D456" s="14" t="s">
        <v>8</v>
      </c>
      <c r="E456" s="14"/>
      <c r="F456" s="14"/>
    </row>
    <row r="457" spans="1:6" ht="15.75" customHeight="1" x14ac:dyDescent="0.25">
      <c r="A457" s="14">
        <v>51</v>
      </c>
      <c r="B457" s="15">
        <v>8.34</v>
      </c>
      <c r="C457" s="58">
        <v>70.430000000000007</v>
      </c>
      <c r="D457" s="14" t="s">
        <v>9</v>
      </c>
      <c r="E457" s="14"/>
      <c r="F457" s="14"/>
    </row>
    <row r="458" spans="1:6" ht="15.75" customHeight="1" x14ac:dyDescent="0.25">
      <c r="A458" s="14">
        <v>20</v>
      </c>
      <c r="B458" s="15">
        <v>8.35</v>
      </c>
      <c r="C458" s="58">
        <v>41.23</v>
      </c>
      <c r="D458" s="14" t="s">
        <v>9</v>
      </c>
      <c r="E458" s="14"/>
      <c r="F458" s="14"/>
    </row>
    <row r="459" spans="1:6" ht="15.75" customHeight="1" x14ac:dyDescent="0.25">
      <c r="A459" s="14">
        <v>35</v>
      </c>
      <c r="B459" s="15">
        <v>8.3800000000000008</v>
      </c>
      <c r="C459" s="58">
        <v>100.78</v>
      </c>
      <c r="D459" s="14" t="s">
        <v>8</v>
      </c>
      <c r="E459" s="14"/>
      <c r="F459" s="14"/>
    </row>
    <row r="460" spans="1:6" ht="15.75" customHeight="1" x14ac:dyDescent="0.25">
      <c r="A460" s="14">
        <v>8</v>
      </c>
      <c r="B460" s="15">
        <v>8.39</v>
      </c>
      <c r="C460" s="58">
        <v>89.98</v>
      </c>
      <c r="D460" s="14" t="s">
        <v>8</v>
      </c>
      <c r="E460" s="14"/>
      <c r="F460" s="14"/>
    </row>
    <row r="461" spans="1:6" ht="15.75" customHeight="1" x14ac:dyDescent="0.25">
      <c r="A461" s="14">
        <v>18</v>
      </c>
      <c r="B461" s="15">
        <v>8.39</v>
      </c>
      <c r="C461" s="58">
        <v>72.72</v>
      </c>
      <c r="D461" s="14" t="s">
        <v>8</v>
      </c>
      <c r="E461" s="14"/>
      <c r="F461" s="14"/>
    </row>
    <row r="462" spans="1:6" ht="15.75" customHeight="1" x14ac:dyDescent="0.25">
      <c r="A462" s="14">
        <v>25</v>
      </c>
      <c r="B462" s="15">
        <v>8.39</v>
      </c>
      <c r="C462" s="58">
        <v>56.55</v>
      </c>
      <c r="D462" s="14" t="s">
        <v>8</v>
      </c>
      <c r="E462" s="14"/>
      <c r="F462" s="14"/>
    </row>
    <row r="463" spans="1:6" ht="15.75" customHeight="1" x14ac:dyDescent="0.25">
      <c r="A463" s="14">
        <v>38</v>
      </c>
      <c r="B463" s="15">
        <v>8.39</v>
      </c>
      <c r="C463" s="58">
        <v>27.64</v>
      </c>
      <c r="D463" s="14" t="s">
        <v>8</v>
      </c>
      <c r="E463" s="14"/>
      <c r="F463" s="14"/>
    </row>
    <row r="464" spans="1:6" ht="15.75" customHeight="1" x14ac:dyDescent="0.25">
      <c r="A464" s="14">
        <v>27</v>
      </c>
      <c r="B464" s="15">
        <v>8.41</v>
      </c>
      <c r="C464" s="58">
        <v>54.49</v>
      </c>
      <c r="D464" s="14" t="s">
        <v>9</v>
      </c>
      <c r="E464" s="14"/>
      <c r="F464" s="14"/>
    </row>
    <row r="465" spans="1:6" ht="15.75" customHeight="1" x14ac:dyDescent="0.25">
      <c r="A465" s="14">
        <v>34</v>
      </c>
      <c r="B465" s="15">
        <v>8.41</v>
      </c>
      <c r="C465" s="58">
        <v>8.69</v>
      </c>
      <c r="D465" s="14" t="s">
        <v>9</v>
      </c>
      <c r="E465" s="14"/>
      <c r="F465" s="14"/>
    </row>
    <row r="466" spans="1:6" ht="15.75" customHeight="1" x14ac:dyDescent="0.25">
      <c r="A466" s="14">
        <v>50</v>
      </c>
      <c r="B466" s="15">
        <v>8.42</v>
      </c>
      <c r="C466" s="58">
        <v>88.33</v>
      </c>
      <c r="D466" s="14" t="s">
        <v>9</v>
      </c>
      <c r="E466" s="14"/>
      <c r="F466" s="14"/>
    </row>
    <row r="467" spans="1:6" ht="15.75" customHeight="1" x14ac:dyDescent="0.25">
      <c r="A467" s="14">
        <v>12</v>
      </c>
      <c r="B467" s="15">
        <v>8.44</v>
      </c>
      <c r="C467" s="58">
        <v>68.91</v>
      </c>
      <c r="D467" s="14" t="s">
        <v>8</v>
      </c>
      <c r="E467" s="14"/>
      <c r="F467" s="14"/>
    </row>
    <row r="468" spans="1:6" ht="15.75" customHeight="1" x14ac:dyDescent="0.25">
      <c r="A468" s="14">
        <v>30</v>
      </c>
      <c r="B468" s="15">
        <v>8.44</v>
      </c>
      <c r="C468" s="58">
        <v>64.36</v>
      </c>
      <c r="D468" s="14" t="s">
        <v>9</v>
      </c>
      <c r="E468" s="14"/>
      <c r="F468" s="14"/>
    </row>
    <row r="469" spans="1:6" ht="15.75" customHeight="1" x14ac:dyDescent="0.25">
      <c r="A469" s="14">
        <v>33</v>
      </c>
      <c r="B469" s="15">
        <v>8.4700000000000006</v>
      </c>
      <c r="C469" s="58">
        <v>69.06</v>
      </c>
      <c r="D469" s="14" t="s">
        <v>8</v>
      </c>
      <c r="E469" s="14"/>
      <c r="F469" s="14"/>
    </row>
    <row r="470" spans="1:6" ht="15.75" customHeight="1" x14ac:dyDescent="0.25">
      <c r="A470" s="14">
        <v>36</v>
      </c>
      <c r="B470" s="15">
        <v>8.49</v>
      </c>
      <c r="C470" s="58">
        <v>62.51</v>
      </c>
      <c r="D470" s="14" t="s">
        <v>8</v>
      </c>
      <c r="E470" s="14"/>
      <c r="F470" s="14"/>
    </row>
    <row r="471" spans="1:6" ht="15.75" customHeight="1" x14ac:dyDescent="0.25">
      <c r="A471" s="14">
        <v>5</v>
      </c>
      <c r="B471" s="15">
        <v>8.52</v>
      </c>
      <c r="C471" s="58">
        <v>66.650000000000006</v>
      </c>
      <c r="D471" s="14" t="s">
        <v>9</v>
      </c>
      <c r="E471" s="14"/>
      <c r="F471" s="14"/>
    </row>
    <row r="472" spans="1:6" ht="15.75" customHeight="1" x14ac:dyDescent="0.25">
      <c r="A472" s="14">
        <v>2</v>
      </c>
      <c r="B472" s="15">
        <v>8.5399999999999991</v>
      </c>
      <c r="C472" s="58">
        <v>86.36</v>
      </c>
      <c r="D472" s="14" t="s">
        <v>9</v>
      </c>
      <c r="E472" s="14"/>
      <c r="F472" s="14"/>
    </row>
    <row r="473" spans="1:6" ht="15.75" customHeight="1" x14ac:dyDescent="0.25">
      <c r="A473" s="14">
        <v>59</v>
      </c>
      <c r="B473" s="15">
        <v>8.5399999999999991</v>
      </c>
      <c r="C473" s="58">
        <v>42.33</v>
      </c>
      <c r="D473" s="14" t="s">
        <v>8</v>
      </c>
      <c r="E473" s="14"/>
      <c r="F473" s="14"/>
    </row>
    <row r="474" spans="1:6" ht="15.75" customHeight="1" x14ac:dyDescent="0.25">
      <c r="A474" s="14">
        <v>63</v>
      </c>
      <c r="B474" s="15">
        <v>8.5500000000000007</v>
      </c>
      <c r="C474" s="58">
        <v>39.17</v>
      </c>
      <c r="D474" s="14" t="s">
        <v>8</v>
      </c>
      <c r="E474" s="14"/>
      <c r="F474" s="14"/>
    </row>
    <row r="475" spans="1:6" ht="15.75" customHeight="1" x14ac:dyDescent="0.25">
      <c r="A475" s="14">
        <v>25</v>
      </c>
      <c r="B475" s="15">
        <v>8.5500000000000007</v>
      </c>
      <c r="C475" s="58">
        <v>37.83</v>
      </c>
      <c r="D475" s="14" t="s">
        <v>9</v>
      </c>
      <c r="E475" s="14"/>
      <c r="F475" s="14"/>
    </row>
    <row r="476" spans="1:6" ht="15.75" customHeight="1" x14ac:dyDescent="0.25">
      <c r="A476" s="14">
        <v>38</v>
      </c>
      <c r="B476" s="15">
        <v>8.56</v>
      </c>
      <c r="C476" s="58">
        <v>103.65</v>
      </c>
      <c r="D476" s="14" t="s">
        <v>9</v>
      </c>
      <c r="E476" s="14"/>
      <c r="F476" s="14"/>
    </row>
    <row r="477" spans="1:6" ht="15.75" customHeight="1" x14ac:dyDescent="0.25">
      <c r="A477" s="14">
        <v>14</v>
      </c>
      <c r="B477" s="15">
        <v>8.6</v>
      </c>
      <c r="C477" s="58">
        <v>84.49</v>
      </c>
      <c r="D477" s="14" t="s">
        <v>9</v>
      </c>
      <c r="E477" s="14"/>
      <c r="F477" s="14"/>
    </row>
    <row r="478" spans="1:6" ht="15.75" customHeight="1" x14ac:dyDescent="0.25">
      <c r="A478" s="14">
        <v>24</v>
      </c>
      <c r="B478" s="15">
        <v>8.6</v>
      </c>
      <c r="C478" s="58">
        <v>68.48</v>
      </c>
      <c r="D478" s="14" t="s">
        <v>8</v>
      </c>
      <c r="E478" s="14"/>
      <c r="F478" s="14"/>
    </row>
    <row r="479" spans="1:6" ht="15.75" customHeight="1" x14ac:dyDescent="0.25">
      <c r="A479" s="14">
        <v>37</v>
      </c>
      <c r="B479" s="15">
        <v>8.6</v>
      </c>
      <c r="C479" s="58">
        <v>43.95</v>
      </c>
      <c r="D479" s="14" t="s">
        <v>8</v>
      </c>
      <c r="E479" s="14"/>
      <c r="F479" s="14"/>
    </row>
    <row r="480" spans="1:6" ht="15.75" customHeight="1" x14ac:dyDescent="0.25">
      <c r="A480" s="14">
        <v>30</v>
      </c>
      <c r="B480" s="15">
        <v>8.6</v>
      </c>
      <c r="C480" s="58">
        <v>42.69</v>
      </c>
      <c r="D480" s="14" t="s">
        <v>9</v>
      </c>
      <c r="E480" s="14"/>
      <c r="F480" s="14"/>
    </row>
    <row r="481" spans="1:6" ht="15.75" customHeight="1" x14ac:dyDescent="0.25">
      <c r="A481" s="14">
        <v>30</v>
      </c>
      <c r="B481" s="15">
        <v>8.61</v>
      </c>
      <c r="C481" s="58">
        <v>52.91</v>
      </c>
      <c r="D481" s="14" t="s">
        <v>8</v>
      </c>
      <c r="E481" s="14"/>
      <c r="F481" s="14"/>
    </row>
    <row r="482" spans="1:6" ht="15.75" customHeight="1" x14ac:dyDescent="0.25">
      <c r="A482" s="14">
        <v>33</v>
      </c>
      <c r="B482" s="15">
        <v>8.6199999999999992</v>
      </c>
      <c r="C482" s="58">
        <v>71.040000000000006</v>
      </c>
      <c r="D482" s="14" t="s">
        <v>9</v>
      </c>
      <c r="E482" s="14"/>
      <c r="F482" s="14"/>
    </row>
    <row r="483" spans="1:6" ht="15.75" customHeight="1" x14ac:dyDescent="0.25">
      <c r="A483" s="14">
        <v>24</v>
      </c>
      <c r="B483" s="15">
        <v>8.6199999999999992</v>
      </c>
      <c r="C483" s="58">
        <v>59.47</v>
      </c>
      <c r="D483" s="14" t="s">
        <v>9</v>
      </c>
      <c r="E483" s="14"/>
      <c r="F483" s="14"/>
    </row>
    <row r="484" spans="1:6" ht="15.75" customHeight="1" x14ac:dyDescent="0.25">
      <c r="A484" s="14">
        <v>26</v>
      </c>
      <c r="B484" s="15">
        <v>8.6300000000000008</v>
      </c>
      <c r="C484" s="58">
        <v>68.959999999999994</v>
      </c>
      <c r="D484" s="14" t="s">
        <v>8</v>
      </c>
      <c r="E484" s="14"/>
      <c r="F484" s="14"/>
    </row>
    <row r="485" spans="1:6" ht="15.75" customHeight="1" x14ac:dyDescent="0.25">
      <c r="A485" s="14">
        <v>34</v>
      </c>
      <c r="B485" s="15">
        <v>8.64</v>
      </c>
      <c r="C485" s="58">
        <v>65.87</v>
      </c>
      <c r="D485" s="14" t="s">
        <v>8</v>
      </c>
      <c r="E485" s="14"/>
      <c r="F485" s="14"/>
    </row>
    <row r="486" spans="1:6" ht="15.75" customHeight="1" x14ac:dyDescent="0.25">
      <c r="A486" s="14">
        <v>37</v>
      </c>
      <c r="B486" s="15">
        <v>8.65</v>
      </c>
      <c r="C486" s="58">
        <v>91.16</v>
      </c>
      <c r="D486" s="14" t="s">
        <v>9</v>
      </c>
      <c r="E486" s="14"/>
      <c r="F486" s="14"/>
    </row>
    <row r="487" spans="1:6" ht="15.75" customHeight="1" x14ac:dyDescent="0.25">
      <c r="A487" s="14">
        <v>23</v>
      </c>
      <c r="B487" s="15">
        <v>8.65</v>
      </c>
      <c r="C487" s="58">
        <v>88.43</v>
      </c>
      <c r="D487" s="14" t="s">
        <v>8</v>
      </c>
      <c r="E487" s="14"/>
      <c r="F487" s="14"/>
    </row>
    <row r="488" spans="1:6" ht="15.75" customHeight="1" x14ac:dyDescent="0.25">
      <c r="A488" s="14">
        <v>24</v>
      </c>
      <c r="B488" s="15">
        <v>8.65</v>
      </c>
      <c r="C488" s="58">
        <v>79.790000000000006</v>
      </c>
      <c r="D488" s="14" t="s">
        <v>8</v>
      </c>
      <c r="E488" s="14"/>
      <c r="F488" s="14"/>
    </row>
    <row r="489" spans="1:6" ht="15.75" customHeight="1" x14ac:dyDescent="0.25">
      <c r="A489" s="14">
        <v>32</v>
      </c>
      <c r="B489" s="15">
        <v>8.68</v>
      </c>
      <c r="C489" s="58">
        <v>89.26</v>
      </c>
      <c r="D489" s="14" t="s">
        <v>9</v>
      </c>
      <c r="E489" s="14"/>
      <c r="F489" s="14"/>
    </row>
    <row r="490" spans="1:6" ht="15.75" customHeight="1" x14ac:dyDescent="0.25">
      <c r="A490" s="14">
        <v>5</v>
      </c>
      <c r="B490" s="15">
        <v>8.68</v>
      </c>
      <c r="C490" s="58">
        <v>87.01</v>
      </c>
      <c r="D490" s="14" t="s">
        <v>9</v>
      </c>
      <c r="E490" s="14"/>
      <c r="F490" s="14"/>
    </row>
    <row r="491" spans="1:6" ht="15.75" customHeight="1" x14ac:dyDescent="0.25">
      <c r="A491" s="14">
        <v>41</v>
      </c>
      <c r="B491" s="15">
        <v>8.68</v>
      </c>
      <c r="C491" s="58">
        <v>67.36</v>
      </c>
      <c r="D491" s="14" t="s">
        <v>8</v>
      </c>
      <c r="E491" s="14"/>
      <c r="F491" s="14"/>
    </row>
    <row r="492" spans="1:6" ht="15.75" customHeight="1" x14ac:dyDescent="0.25">
      <c r="A492" s="14">
        <v>42</v>
      </c>
      <c r="B492" s="15">
        <v>8.68</v>
      </c>
      <c r="C492" s="58">
        <v>42.13</v>
      </c>
      <c r="D492" s="14" t="s">
        <v>9</v>
      </c>
      <c r="E492" s="14"/>
      <c r="F492" s="14"/>
    </row>
    <row r="493" spans="1:6" ht="15.75" customHeight="1" x14ac:dyDescent="0.25">
      <c r="A493" s="14">
        <v>55</v>
      </c>
      <c r="B493" s="15">
        <v>8.69</v>
      </c>
      <c r="C493" s="58">
        <v>72.78</v>
      </c>
      <c r="D493" s="14" t="s">
        <v>9</v>
      </c>
      <c r="E493" s="14"/>
      <c r="F493" s="14"/>
    </row>
    <row r="494" spans="1:6" ht="15.75" customHeight="1" x14ac:dyDescent="0.25">
      <c r="A494" s="14">
        <v>40</v>
      </c>
      <c r="B494" s="15">
        <v>8.6999999999999993</v>
      </c>
      <c r="C494" s="58">
        <v>66.56</v>
      </c>
      <c r="D494" s="14" t="s">
        <v>9</v>
      </c>
      <c r="E494" s="14"/>
      <c r="F494" s="14"/>
    </row>
    <row r="495" spans="1:6" ht="15.75" customHeight="1" x14ac:dyDescent="0.25">
      <c r="A495" s="14">
        <v>45</v>
      </c>
      <c r="B495" s="15">
        <v>8.7100000000000009</v>
      </c>
      <c r="C495" s="58">
        <v>73.91</v>
      </c>
      <c r="D495" s="14" t="s">
        <v>8</v>
      </c>
      <c r="E495" s="14"/>
      <c r="F495" s="14"/>
    </row>
    <row r="496" spans="1:6" ht="15.75" customHeight="1" x14ac:dyDescent="0.25">
      <c r="A496" s="14">
        <v>53</v>
      </c>
      <c r="B496" s="15">
        <v>8.7200000000000006</v>
      </c>
      <c r="C496" s="58">
        <v>70.61</v>
      </c>
      <c r="D496" s="14" t="s">
        <v>8</v>
      </c>
      <c r="E496" s="14"/>
      <c r="F496" s="14"/>
    </row>
    <row r="497" spans="1:6" ht="15.75" customHeight="1" x14ac:dyDescent="0.25">
      <c r="A497" s="14">
        <v>22</v>
      </c>
      <c r="B497" s="15">
        <v>8.7200000000000006</v>
      </c>
      <c r="C497" s="58">
        <v>68.069999999999993</v>
      </c>
      <c r="D497" s="14" t="s">
        <v>8</v>
      </c>
      <c r="E497" s="14"/>
      <c r="F497" s="14"/>
    </row>
    <row r="498" spans="1:6" ht="15.75" customHeight="1" x14ac:dyDescent="0.25">
      <c r="A498" s="14">
        <v>16</v>
      </c>
      <c r="B498" s="15">
        <v>8.74</v>
      </c>
      <c r="C498" s="58">
        <v>83.38</v>
      </c>
      <c r="D498" s="14" t="s">
        <v>9</v>
      </c>
      <c r="E498" s="14"/>
      <c r="F498" s="14"/>
    </row>
    <row r="499" spans="1:6" ht="15.75" customHeight="1" x14ac:dyDescent="0.25">
      <c r="A499" s="14">
        <v>35</v>
      </c>
      <c r="B499" s="15">
        <v>8.74</v>
      </c>
      <c r="C499" s="58">
        <v>72.92</v>
      </c>
      <c r="D499" s="14" t="s">
        <v>9</v>
      </c>
      <c r="E499" s="14"/>
      <c r="F499" s="14"/>
    </row>
    <row r="500" spans="1:6" ht="15.75" customHeight="1" x14ac:dyDescent="0.25">
      <c r="A500" s="14">
        <v>38</v>
      </c>
      <c r="B500" s="15">
        <v>8.75</v>
      </c>
      <c r="C500" s="58">
        <v>88.53</v>
      </c>
      <c r="D500" s="14" t="s">
        <v>8</v>
      </c>
      <c r="E500" s="14"/>
      <c r="F500" s="14"/>
    </row>
    <row r="501" spans="1:6" ht="15.75" customHeight="1" x14ac:dyDescent="0.25">
      <c r="A501" s="14">
        <v>19</v>
      </c>
      <c r="B501" s="15">
        <v>8.7799999999999994</v>
      </c>
      <c r="C501" s="58">
        <v>61.87</v>
      </c>
      <c r="D501" s="14" t="s">
        <v>9</v>
      </c>
      <c r="E501" s="14"/>
      <c r="F501" s="14"/>
    </row>
    <row r="502" spans="1:6" ht="15.75" customHeight="1" x14ac:dyDescent="0.25">
      <c r="A502" s="14">
        <v>44</v>
      </c>
      <c r="B502" s="15">
        <v>8.7899999999999991</v>
      </c>
      <c r="C502" s="58">
        <v>91.53</v>
      </c>
      <c r="D502" s="14" t="s">
        <v>9</v>
      </c>
      <c r="E502" s="14"/>
      <c r="F502" s="14"/>
    </row>
    <row r="503" spans="1:6" ht="15.75" customHeight="1" x14ac:dyDescent="0.25">
      <c r="A503" s="14">
        <v>32</v>
      </c>
      <c r="B503" s="15">
        <v>8.8000000000000007</v>
      </c>
      <c r="C503" s="58">
        <v>115.37</v>
      </c>
      <c r="D503" s="14" t="s">
        <v>9</v>
      </c>
      <c r="E503" s="14"/>
      <c r="F503" s="14"/>
    </row>
    <row r="504" spans="1:6" ht="15.75" customHeight="1" x14ac:dyDescent="0.25">
      <c r="A504" s="14">
        <v>37</v>
      </c>
      <c r="B504" s="15">
        <v>8.8000000000000007</v>
      </c>
      <c r="C504" s="58">
        <v>68.760000000000005</v>
      </c>
      <c r="D504" s="14" t="s">
        <v>8</v>
      </c>
      <c r="E504" s="14"/>
      <c r="F504" s="14"/>
    </row>
    <row r="505" spans="1:6" ht="15.75" customHeight="1" x14ac:dyDescent="0.25">
      <c r="A505" s="14">
        <v>24</v>
      </c>
      <c r="B505" s="15">
        <v>8.83</v>
      </c>
      <c r="C505" s="58">
        <v>76.27</v>
      </c>
      <c r="D505" s="14" t="s">
        <v>9</v>
      </c>
      <c r="E505" s="14"/>
      <c r="F505" s="14"/>
    </row>
    <row r="506" spans="1:6" ht="15.75" customHeight="1" x14ac:dyDescent="0.25">
      <c r="A506" s="14">
        <v>43</v>
      </c>
      <c r="B506" s="15">
        <v>8.85</v>
      </c>
      <c r="C506" s="58">
        <v>66.16</v>
      </c>
      <c r="D506" s="14" t="s">
        <v>9</v>
      </c>
      <c r="E506" s="14"/>
      <c r="F506" s="14"/>
    </row>
    <row r="507" spans="1:6" ht="15.75" customHeight="1" x14ac:dyDescent="0.25">
      <c r="A507" s="14">
        <v>28</v>
      </c>
      <c r="B507" s="15">
        <v>8.86</v>
      </c>
      <c r="C507" s="58">
        <v>55.5</v>
      </c>
      <c r="D507" s="14" t="s">
        <v>8</v>
      </c>
      <c r="E507" s="14"/>
      <c r="F507" s="14"/>
    </row>
    <row r="508" spans="1:6" ht="15.75" customHeight="1" x14ac:dyDescent="0.25">
      <c r="A508" s="14">
        <v>36</v>
      </c>
      <c r="B508" s="15">
        <v>8.8800000000000008</v>
      </c>
      <c r="C508" s="58">
        <v>73.25</v>
      </c>
      <c r="D508" s="14" t="s">
        <v>9</v>
      </c>
      <c r="E508" s="14"/>
      <c r="F508" s="14"/>
    </row>
    <row r="509" spans="1:6" ht="15.75" customHeight="1" x14ac:dyDescent="0.25">
      <c r="A509" s="14">
        <v>34</v>
      </c>
      <c r="B509" s="15">
        <v>8.89</v>
      </c>
      <c r="C509" s="58">
        <v>85.79</v>
      </c>
      <c r="D509" s="14" t="s">
        <v>9</v>
      </c>
      <c r="E509" s="14"/>
      <c r="F509" s="14"/>
    </row>
    <row r="510" spans="1:6" ht="15.75" customHeight="1" x14ac:dyDescent="0.25">
      <c r="A510" s="14">
        <v>26</v>
      </c>
      <c r="B510" s="15">
        <v>8.91</v>
      </c>
      <c r="C510" s="58">
        <v>47.3</v>
      </c>
      <c r="D510" s="14" t="s">
        <v>9</v>
      </c>
      <c r="E510" s="14"/>
      <c r="F510" s="14"/>
    </row>
    <row r="511" spans="1:6" ht="15.75" customHeight="1" x14ac:dyDescent="0.25">
      <c r="A511" s="14">
        <v>31</v>
      </c>
      <c r="B511" s="15">
        <v>8.92</v>
      </c>
      <c r="C511" s="58">
        <v>77.150000000000006</v>
      </c>
      <c r="D511" s="14" t="s">
        <v>8</v>
      </c>
      <c r="E511" s="14"/>
      <c r="F511" s="14"/>
    </row>
    <row r="512" spans="1:6" ht="15.75" customHeight="1" x14ac:dyDescent="0.25">
      <c r="A512" s="14">
        <v>3</v>
      </c>
      <c r="B512" s="15">
        <v>8.93</v>
      </c>
      <c r="C512" s="58">
        <v>118.54</v>
      </c>
      <c r="D512" s="14" t="s">
        <v>8</v>
      </c>
      <c r="E512" s="14"/>
      <c r="F512" s="14"/>
    </row>
    <row r="513" spans="1:6" ht="15.75" customHeight="1" x14ac:dyDescent="0.25">
      <c r="A513" s="14">
        <v>39</v>
      </c>
      <c r="B513" s="15">
        <v>8.93</v>
      </c>
      <c r="C513" s="58">
        <v>72.44</v>
      </c>
      <c r="D513" s="14" t="s">
        <v>8</v>
      </c>
      <c r="E513" s="14"/>
      <c r="F513" s="14"/>
    </row>
    <row r="514" spans="1:6" ht="15.75" customHeight="1" x14ac:dyDescent="0.25">
      <c r="A514" s="14">
        <v>31</v>
      </c>
      <c r="B514" s="15">
        <v>8.94</v>
      </c>
      <c r="C514" s="58">
        <v>49.92</v>
      </c>
      <c r="D514" s="14" t="s">
        <v>9</v>
      </c>
      <c r="E514" s="14"/>
      <c r="F514" s="14"/>
    </row>
    <row r="515" spans="1:6" ht="15.75" customHeight="1" x14ac:dyDescent="0.25">
      <c r="A515" s="14">
        <v>7</v>
      </c>
      <c r="B515" s="15">
        <v>8.9600000000000009</v>
      </c>
      <c r="C515" s="58">
        <v>79.349999999999994</v>
      </c>
      <c r="D515" s="14" t="s">
        <v>8</v>
      </c>
      <c r="E515" s="14"/>
      <c r="F515" s="14"/>
    </row>
    <row r="516" spans="1:6" ht="15.75" customHeight="1" x14ac:dyDescent="0.25">
      <c r="A516" s="14">
        <v>23</v>
      </c>
      <c r="B516" s="15">
        <v>8.9700000000000006</v>
      </c>
      <c r="C516" s="58">
        <v>53.51</v>
      </c>
      <c r="D516" s="14" t="s">
        <v>9</v>
      </c>
      <c r="E516" s="14"/>
      <c r="F516" s="14"/>
    </row>
    <row r="517" spans="1:6" ht="15.75" customHeight="1" x14ac:dyDescent="0.25">
      <c r="A517" s="14">
        <v>6</v>
      </c>
      <c r="B517" s="15">
        <v>8.98</v>
      </c>
      <c r="C517" s="58">
        <v>72.540000000000006</v>
      </c>
      <c r="D517" s="14" t="s">
        <v>8</v>
      </c>
      <c r="E517" s="14"/>
      <c r="F517" s="14"/>
    </row>
    <row r="518" spans="1:6" ht="15.75" customHeight="1" x14ac:dyDescent="0.25">
      <c r="A518" s="14">
        <v>15</v>
      </c>
      <c r="B518" s="15">
        <v>8.98</v>
      </c>
      <c r="C518" s="58">
        <v>47.37</v>
      </c>
      <c r="D518" s="14" t="s">
        <v>9</v>
      </c>
      <c r="E518" s="14"/>
      <c r="F518" s="14"/>
    </row>
    <row r="519" spans="1:6" ht="15.75" customHeight="1" x14ac:dyDescent="0.25">
      <c r="A519" s="14">
        <v>31</v>
      </c>
      <c r="B519" s="15">
        <v>9</v>
      </c>
      <c r="C519" s="58">
        <v>60.12</v>
      </c>
      <c r="D519" s="14" t="s">
        <v>9</v>
      </c>
      <c r="E519" s="14"/>
      <c r="F519" s="14"/>
    </row>
    <row r="520" spans="1:6" ht="15.75" customHeight="1" x14ac:dyDescent="0.25">
      <c r="A520" s="14">
        <v>43</v>
      </c>
      <c r="B520" s="15">
        <v>9.01</v>
      </c>
      <c r="C520" s="58">
        <v>61.06</v>
      </c>
      <c r="D520" s="14" t="s">
        <v>8</v>
      </c>
      <c r="E520" s="14"/>
      <c r="F520" s="14"/>
    </row>
    <row r="521" spans="1:6" ht="15.75" customHeight="1" x14ac:dyDescent="0.25">
      <c r="A521" s="14">
        <v>29</v>
      </c>
      <c r="B521" s="15">
        <v>9.02</v>
      </c>
      <c r="C521" s="58">
        <v>78.27</v>
      </c>
      <c r="D521" s="14" t="s">
        <v>8</v>
      </c>
      <c r="E521" s="14"/>
      <c r="F521" s="14"/>
    </row>
    <row r="522" spans="1:6" ht="15.75" customHeight="1" x14ac:dyDescent="0.25">
      <c r="A522" s="14">
        <v>24</v>
      </c>
      <c r="B522" s="15">
        <v>9.02</v>
      </c>
      <c r="C522" s="58">
        <v>68.38</v>
      </c>
      <c r="D522" s="14" t="s">
        <v>9</v>
      </c>
      <c r="E522" s="14"/>
      <c r="F522" s="14"/>
    </row>
    <row r="523" spans="1:6" ht="15.75" customHeight="1" x14ac:dyDescent="0.25">
      <c r="A523" s="14">
        <v>36</v>
      </c>
      <c r="B523" s="15">
        <v>9.0299999999999994</v>
      </c>
      <c r="C523" s="58">
        <v>77.069999999999993</v>
      </c>
      <c r="D523" s="14" t="s">
        <v>8</v>
      </c>
      <c r="E523" s="14"/>
      <c r="F523" s="14"/>
    </row>
    <row r="524" spans="1:6" ht="15.75" customHeight="1" x14ac:dyDescent="0.25">
      <c r="A524" s="14">
        <v>20</v>
      </c>
      <c r="B524" s="15">
        <v>9.0299999999999994</v>
      </c>
      <c r="C524" s="58">
        <v>68.260000000000005</v>
      </c>
      <c r="D524" s="14" t="s">
        <v>8</v>
      </c>
      <c r="E524" s="14"/>
      <c r="F524" s="14"/>
    </row>
    <row r="525" spans="1:6" ht="15.75" customHeight="1" x14ac:dyDescent="0.25">
      <c r="A525" s="14">
        <v>16</v>
      </c>
      <c r="B525" s="15">
        <v>9.0399999999999991</v>
      </c>
      <c r="C525" s="58">
        <v>89.08</v>
      </c>
      <c r="D525" s="14" t="s">
        <v>9</v>
      </c>
      <c r="E525" s="14"/>
      <c r="F525" s="14"/>
    </row>
    <row r="526" spans="1:6" ht="15.75" customHeight="1" x14ac:dyDescent="0.25">
      <c r="A526" s="14">
        <v>6</v>
      </c>
      <c r="B526" s="15">
        <v>9.0500000000000007</v>
      </c>
      <c r="C526" s="58">
        <v>77.84</v>
      </c>
      <c r="D526" s="14" t="s">
        <v>8</v>
      </c>
      <c r="E526" s="14"/>
      <c r="F526" s="14"/>
    </row>
    <row r="527" spans="1:6" ht="15.75" customHeight="1" x14ac:dyDescent="0.25">
      <c r="A527" s="14">
        <v>17</v>
      </c>
      <c r="B527" s="15">
        <v>9.0500000000000007</v>
      </c>
      <c r="C527" s="58">
        <v>29.32</v>
      </c>
      <c r="D527" s="14" t="s">
        <v>8</v>
      </c>
      <c r="E527" s="14"/>
      <c r="F527" s="14"/>
    </row>
    <row r="528" spans="1:6" ht="15.75" customHeight="1" x14ac:dyDescent="0.25">
      <c r="A528" s="14">
        <v>1</v>
      </c>
      <c r="B528" s="15">
        <v>9.06</v>
      </c>
      <c r="C528" s="58">
        <v>67.66</v>
      </c>
      <c r="D528" s="14" t="s">
        <v>9</v>
      </c>
      <c r="E528" s="14"/>
      <c r="F528" s="14"/>
    </row>
    <row r="529" spans="1:6" ht="15.75" customHeight="1" x14ac:dyDescent="0.25">
      <c r="A529" s="14">
        <v>12</v>
      </c>
      <c r="B529" s="15">
        <v>9.07</v>
      </c>
      <c r="C529" s="58">
        <v>68.02</v>
      </c>
      <c r="D529" s="14" t="s">
        <v>8</v>
      </c>
      <c r="E529" s="14"/>
      <c r="F529" s="14"/>
    </row>
    <row r="530" spans="1:6" ht="15.75" customHeight="1" x14ac:dyDescent="0.25">
      <c r="A530" s="14">
        <v>35</v>
      </c>
      <c r="B530" s="15">
        <v>9.07</v>
      </c>
      <c r="C530" s="58">
        <v>67.150000000000006</v>
      </c>
      <c r="D530" s="14" t="s">
        <v>8</v>
      </c>
      <c r="E530" s="14"/>
      <c r="F530" s="14"/>
    </row>
    <row r="531" spans="1:6" ht="15.75" customHeight="1" x14ac:dyDescent="0.25">
      <c r="A531" s="14">
        <v>17</v>
      </c>
      <c r="B531" s="15">
        <v>9.1</v>
      </c>
      <c r="C531" s="58">
        <v>52.07</v>
      </c>
      <c r="D531" s="14" t="s">
        <v>9</v>
      </c>
      <c r="E531" s="14"/>
      <c r="F531" s="14"/>
    </row>
    <row r="532" spans="1:6" ht="15.75" customHeight="1" x14ac:dyDescent="0.25">
      <c r="A532" s="14">
        <v>21</v>
      </c>
      <c r="B532" s="15">
        <v>9.15</v>
      </c>
      <c r="C532" s="58">
        <v>78.58</v>
      </c>
      <c r="D532" s="14" t="s">
        <v>9</v>
      </c>
      <c r="E532" s="14"/>
      <c r="F532" s="14"/>
    </row>
    <row r="533" spans="1:6" ht="15.75" customHeight="1" x14ac:dyDescent="0.25">
      <c r="A533" s="14">
        <v>16</v>
      </c>
      <c r="B533" s="15">
        <v>9.15</v>
      </c>
      <c r="C533" s="58">
        <v>69.040000000000006</v>
      </c>
      <c r="D533" s="14" t="s">
        <v>8</v>
      </c>
      <c r="E533" s="14"/>
      <c r="F533" s="14"/>
    </row>
    <row r="534" spans="1:6" ht="15.75" customHeight="1" x14ac:dyDescent="0.25">
      <c r="A534" s="14">
        <v>17</v>
      </c>
      <c r="B534" s="15">
        <v>9.17</v>
      </c>
      <c r="C534" s="58">
        <v>59.62</v>
      </c>
      <c r="D534" s="14" t="s">
        <v>9</v>
      </c>
      <c r="E534" s="14"/>
      <c r="F534" s="14"/>
    </row>
    <row r="535" spans="1:6" ht="15.75" customHeight="1" x14ac:dyDescent="0.25">
      <c r="A535" s="14">
        <v>30</v>
      </c>
      <c r="B535" s="15">
        <v>9.18</v>
      </c>
      <c r="C535" s="58">
        <v>73.87</v>
      </c>
      <c r="D535" s="14" t="s">
        <v>8</v>
      </c>
      <c r="E535" s="14"/>
      <c r="F535" s="14"/>
    </row>
    <row r="536" spans="1:6" ht="15.75" customHeight="1" x14ac:dyDescent="0.25">
      <c r="A536" s="14">
        <v>43</v>
      </c>
      <c r="B536" s="15">
        <v>9.18</v>
      </c>
      <c r="C536" s="58">
        <v>65.19</v>
      </c>
      <c r="D536" s="14" t="s">
        <v>9</v>
      </c>
      <c r="E536" s="14"/>
      <c r="F536" s="14"/>
    </row>
    <row r="537" spans="1:6" ht="15.75" customHeight="1" x14ac:dyDescent="0.25">
      <c r="A537" s="14">
        <v>33</v>
      </c>
      <c r="B537" s="15">
        <v>9.19</v>
      </c>
      <c r="C537" s="58">
        <v>72.56</v>
      </c>
      <c r="D537" s="14" t="s">
        <v>8</v>
      </c>
      <c r="E537" s="14"/>
      <c r="F537" s="14"/>
    </row>
    <row r="538" spans="1:6" ht="15.75" customHeight="1" x14ac:dyDescent="0.25">
      <c r="A538" s="14">
        <v>18</v>
      </c>
      <c r="B538" s="15">
        <v>9.1999999999999993</v>
      </c>
      <c r="C538" s="58">
        <v>76.39</v>
      </c>
      <c r="D538" s="14" t="s">
        <v>8</v>
      </c>
      <c r="E538" s="14"/>
      <c r="F538" s="14"/>
    </row>
    <row r="539" spans="1:6" ht="15.75" customHeight="1" x14ac:dyDescent="0.25">
      <c r="A539" s="14">
        <v>8</v>
      </c>
      <c r="B539" s="15">
        <v>9.1999999999999993</v>
      </c>
      <c r="C539" s="58">
        <v>73.45</v>
      </c>
      <c r="D539" s="14" t="s">
        <v>9</v>
      </c>
      <c r="E539" s="14"/>
      <c r="F539" s="14"/>
    </row>
    <row r="540" spans="1:6" ht="15.75" customHeight="1" x14ac:dyDescent="0.25">
      <c r="A540" s="14">
        <v>22</v>
      </c>
      <c r="B540" s="15">
        <v>9.1999999999999993</v>
      </c>
      <c r="C540" s="58">
        <v>72.510000000000005</v>
      </c>
      <c r="D540" s="14" t="s">
        <v>9</v>
      </c>
      <c r="E540" s="14"/>
      <c r="F540" s="14"/>
    </row>
    <row r="541" spans="1:6" ht="15.75" customHeight="1" x14ac:dyDescent="0.25">
      <c r="A541" s="14">
        <v>26</v>
      </c>
      <c r="B541" s="15">
        <v>9.2100000000000009</v>
      </c>
      <c r="C541" s="58">
        <v>83.15</v>
      </c>
      <c r="D541" s="14" t="s">
        <v>8</v>
      </c>
      <c r="E541" s="14"/>
      <c r="F541" s="14"/>
    </row>
    <row r="542" spans="1:6" ht="15.75" customHeight="1" x14ac:dyDescent="0.25">
      <c r="A542" s="14">
        <v>40</v>
      </c>
      <c r="B542" s="15">
        <v>9.2100000000000009</v>
      </c>
      <c r="C542" s="58">
        <v>67.63</v>
      </c>
      <c r="D542" s="14" t="s">
        <v>9</v>
      </c>
      <c r="E542" s="14"/>
      <c r="F542" s="14"/>
    </row>
    <row r="543" spans="1:6" ht="15.75" customHeight="1" x14ac:dyDescent="0.25">
      <c r="A543" s="14">
        <v>47</v>
      </c>
      <c r="B543" s="15">
        <v>9.2100000000000009</v>
      </c>
      <c r="C543" s="58">
        <v>62.31</v>
      </c>
      <c r="D543" s="14" t="s">
        <v>8</v>
      </c>
      <c r="E543" s="14"/>
      <c r="F543" s="14"/>
    </row>
    <row r="544" spans="1:6" ht="15.75" customHeight="1" x14ac:dyDescent="0.25">
      <c r="A544" s="14">
        <v>30</v>
      </c>
      <c r="B544" s="15">
        <v>9.2200000000000006</v>
      </c>
      <c r="C544" s="58">
        <v>83.76</v>
      </c>
      <c r="D544" s="14" t="s">
        <v>8</v>
      </c>
      <c r="E544" s="14"/>
      <c r="F544" s="14"/>
    </row>
    <row r="545" spans="1:6" ht="15.75" customHeight="1" x14ac:dyDescent="0.25">
      <c r="A545" s="14">
        <v>3</v>
      </c>
      <c r="B545" s="15">
        <v>9.23</v>
      </c>
      <c r="C545" s="58">
        <v>94.26</v>
      </c>
      <c r="D545" s="14" t="s">
        <v>9</v>
      </c>
      <c r="E545" s="14"/>
      <c r="F545" s="14"/>
    </row>
    <row r="546" spans="1:6" ht="15.75" customHeight="1" x14ac:dyDescent="0.25">
      <c r="A546" s="14">
        <v>9</v>
      </c>
      <c r="B546" s="15">
        <v>9.23</v>
      </c>
      <c r="C546" s="58">
        <v>82.68</v>
      </c>
      <c r="D546" s="14" t="s">
        <v>9</v>
      </c>
      <c r="E546" s="14"/>
      <c r="F546" s="14"/>
    </row>
    <row r="547" spans="1:6" ht="15.75" customHeight="1" x14ac:dyDescent="0.25">
      <c r="A547" s="14">
        <v>41</v>
      </c>
      <c r="B547" s="15">
        <v>9.23</v>
      </c>
      <c r="C547" s="58">
        <v>74.239999999999995</v>
      </c>
      <c r="D547" s="14" t="s">
        <v>8</v>
      </c>
      <c r="E547" s="14"/>
      <c r="F547" s="14"/>
    </row>
    <row r="548" spans="1:6" ht="15.75" customHeight="1" x14ac:dyDescent="0.25">
      <c r="A548" s="14">
        <v>38</v>
      </c>
      <c r="B548" s="15">
        <v>9.24</v>
      </c>
      <c r="C548" s="58">
        <v>91.7</v>
      </c>
      <c r="D548" s="14" t="s">
        <v>9</v>
      </c>
      <c r="E548" s="14"/>
      <c r="F548" s="14"/>
    </row>
    <row r="549" spans="1:6" ht="15.75" customHeight="1" x14ac:dyDescent="0.25">
      <c r="A549" s="14">
        <v>30</v>
      </c>
      <c r="B549" s="15">
        <v>9.24</v>
      </c>
      <c r="C549" s="58">
        <v>77.36</v>
      </c>
      <c r="D549" s="14" t="s">
        <v>9</v>
      </c>
      <c r="E549" s="14"/>
      <c r="F549" s="14"/>
    </row>
    <row r="550" spans="1:6" ht="15.75" customHeight="1" x14ac:dyDescent="0.25">
      <c r="A550" s="14">
        <v>15</v>
      </c>
      <c r="B550" s="15">
        <v>9.25</v>
      </c>
      <c r="C550" s="58">
        <v>82.31</v>
      </c>
      <c r="D550" s="14" t="s">
        <v>9</v>
      </c>
      <c r="E550" s="14"/>
      <c r="F550" s="14"/>
    </row>
    <row r="551" spans="1:6" ht="15.75" customHeight="1" x14ac:dyDescent="0.25">
      <c r="A551" s="14">
        <v>27</v>
      </c>
      <c r="B551" s="15">
        <v>9.25</v>
      </c>
      <c r="C551" s="58">
        <v>66.709999999999994</v>
      </c>
      <c r="D551" s="14" t="s">
        <v>8</v>
      </c>
      <c r="E551" s="14"/>
      <c r="F551" s="14"/>
    </row>
    <row r="552" spans="1:6" ht="15.75" customHeight="1" x14ac:dyDescent="0.25">
      <c r="A552" s="14">
        <v>8</v>
      </c>
      <c r="B552" s="15">
        <v>9.25</v>
      </c>
      <c r="C552" s="58">
        <v>55.73</v>
      </c>
      <c r="D552" s="14" t="s">
        <v>9</v>
      </c>
      <c r="E552" s="14"/>
      <c r="F552" s="14"/>
    </row>
    <row r="553" spans="1:6" ht="15.75" customHeight="1" x14ac:dyDescent="0.25">
      <c r="A553" s="14">
        <v>28</v>
      </c>
      <c r="B553" s="15">
        <v>9.27</v>
      </c>
      <c r="C553" s="58">
        <v>81.64</v>
      </c>
      <c r="D553" s="14" t="s">
        <v>9</v>
      </c>
      <c r="E553" s="14"/>
      <c r="F553" s="14"/>
    </row>
    <row r="554" spans="1:6" ht="15.75" customHeight="1" x14ac:dyDescent="0.25">
      <c r="A554" s="14">
        <v>43</v>
      </c>
      <c r="B554" s="15">
        <v>9.27</v>
      </c>
      <c r="C554" s="58">
        <v>63.57</v>
      </c>
      <c r="D554" s="14" t="s">
        <v>8</v>
      </c>
      <c r="E554" s="14"/>
      <c r="F554" s="14"/>
    </row>
    <row r="555" spans="1:6" ht="15.75" customHeight="1" x14ac:dyDescent="0.25">
      <c r="A555" s="14">
        <v>40</v>
      </c>
      <c r="B555" s="15">
        <v>9.27</v>
      </c>
      <c r="C555" s="58">
        <v>55.3</v>
      </c>
      <c r="D555" s="14" t="s">
        <v>9</v>
      </c>
      <c r="E555" s="14"/>
      <c r="F555" s="14"/>
    </row>
    <row r="556" spans="1:6" ht="15.75" customHeight="1" x14ac:dyDescent="0.25">
      <c r="A556" s="14">
        <v>24</v>
      </c>
      <c r="B556" s="15">
        <v>9.2799999999999994</v>
      </c>
      <c r="C556" s="58">
        <v>76.55</v>
      </c>
      <c r="D556" s="14" t="s">
        <v>8</v>
      </c>
      <c r="E556" s="14"/>
      <c r="F556" s="14"/>
    </row>
    <row r="557" spans="1:6" ht="15.75" customHeight="1" x14ac:dyDescent="0.25">
      <c r="A557" s="14">
        <v>26</v>
      </c>
      <c r="B557" s="15">
        <v>9.3000000000000007</v>
      </c>
      <c r="C557" s="58">
        <v>78.83</v>
      </c>
      <c r="D557" s="14" t="s">
        <v>9</v>
      </c>
      <c r="E557" s="14"/>
      <c r="F557" s="14"/>
    </row>
    <row r="558" spans="1:6" ht="15.75" customHeight="1" x14ac:dyDescent="0.25">
      <c r="A558" s="14">
        <v>23</v>
      </c>
      <c r="B558" s="15">
        <v>9.3000000000000007</v>
      </c>
      <c r="C558" s="58">
        <v>58.26</v>
      </c>
      <c r="D558" s="14" t="s">
        <v>9</v>
      </c>
      <c r="E558" s="14"/>
      <c r="F558" s="14"/>
    </row>
    <row r="559" spans="1:6" ht="15.75" customHeight="1" x14ac:dyDescent="0.25">
      <c r="A559" s="14">
        <v>24</v>
      </c>
      <c r="B559" s="15">
        <v>9.31</v>
      </c>
      <c r="C559" s="58">
        <v>77.760000000000005</v>
      </c>
      <c r="D559" s="14" t="s">
        <v>9</v>
      </c>
      <c r="E559" s="14"/>
      <c r="F559" s="14"/>
    </row>
    <row r="560" spans="1:6" ht="15.75" customHeight="1" x14ac:dyDescent="0.25">
      <c r="A560" s="14">
        <v>35</v>
      </c>
      <c r="B560" s="15">
        <v>9.33</v>
      </c>
      <c r="C560" s="58">
        <v>84.48</v>
      </c>
      <c r="D560" s="14" t="s">
        <v>9</v>
      </c>
      <c r="E560" s="14"/>
      <c r="F560" s="14"/>
    </row>
    <row r="561" spans="1:6" ht="15.75" customHeight="1" x14ac:dyDescent="0.25">
      <c r="A561" s="14">
        <v>6</v>
      </c>
      <c r="B561" s="15">
        <v>9.33</v>
      </c>
      <c r="C561" s="58">
        <v>70.38</v>
      </c>
      <c r="D561" s="14" t="s">
        <v>9</v>
      </c>
      <c r="E561" s="14"/>
      <c r="F561" s="14"/>
    </row>
    <row r="562" spans="1:6" ht="15.75" customHeight="1" x14ac:dyDescent="0.25">
      <c r="A562" s="14">
        <v>36</v>
      </c>
      <c r="B562" s="15">
        <v>9.35</v>
      </c>
      <c r="C562" s="58">
        <v>96.31</v>
      </c>
      <c r="D562" s="14" t="s">
        <v>8</v>
      </c>
      <c r="E562" s="14"/>
      <c r="F562" s="14"/>
    </row>
    <row r="563" spans="1:6" ht="15.75" customHeight="1" x14ac:dyDescent="0.25">
      <c r="A563" s="14">
        <v>16</v>
      </c>
      <c r="B563" s="15">
        <v>9.3800000000000008</v>
      </c>
      <c r="C563" s="58">
        <v>90.42</v>
      </c>
      <c r="D563" s="14" t="s">
        <v>9</v>
      </c>
      <c r="E563" s="14"/>
      <c r="F563" s="14"/>
    </row>
    <row r="564" spans="1:6" ht="15.75" customHeight="1" x14ac:dyDescent="0.25">
      <c r="A564" s="14">
        <v>14</v>
      </c>
      <c r="B564" s="15">
        <v>9.3800000000000008</v>
      </c>
      <c r="C564" s="58">
        <v>79.900000000000006</v>
      </c>
      <c r="D564" s="14" t="s">
        <v>9</v>
      </c>
      <c r="E564" s="14"/>
      <c r="F564" s="14"/>
    </row>
    <row r="565" spans="1:6" ht="15.75" customHeight="1" x14ac:dyDescent="0.25">
      <c r="A565" s="14">
        <v>4</v>
      </c>
      <c r="B565" s="15">
        <v>9.42</v>
      </c>
      <c r="C565" s="58">
        <v>75.459999999999994</v>
      </c>
      <c r="D565" s="14" t="s">
        <v>8</v>
      </c>
      <c r="E565" s="14"/>
      <c r="F565" s="14"/>
    </row>
    <row r="566" spans="1:6" ht="15.75" customHeight="1" x14ac:dyDescent="0.25">
      <c r="A566" s="14">
        <v>37</v>
      </c>
      <c r="B566" s="15">
        <v>9.44</v>
      </c>
      <c r="C566" s="58">
        <v>61.2</v>
      </c>
      <c r="D566" s="14" t="s">
        <v>9</v>
      </c>
      <c r="E566" s="14"/>
      <c r="F566" s="14"/>
    </row>
    <row r="567" spans="1:6" ht="15.75" customHeight="1" x14ac:dyDescent="0.25">
      <c r="A567" s="14">
        <v>2</v>
      </c>
      <c r="B567" s="15">
        <v>9.4600000000000009</v>
      </c>
      <c r="C567" s="58">
        <v>90.99</v>
      </c>
      <c r="D567" s="14" t="s">
        <v>8</v>
      </c>
      <c r="E567" s="14"/>
      <c r="F567" s="14"/>
    </row>
    <row r="568" spans="1:6" ht="15.75" customHeight="1" x14ac:dyDescent="0.25">
      <c r="A568" s="14">
        <v>46</v>
      </c>
      <c r="B568" s="15">
        <v>9.4700000000000006</v>
      </c>
      <c r="C568" s="58">
        <v>75.08</v>
      </c>
      <c r="D568" s="14" t="s">
        <v>9</v>
      </c>
      <c r="E568" s="14"/>
      <c r="F568" s="14"/>
    </row>
    <row r="569" spans="1:6" ht="15.75" customHeight="1" x14ac:dyDescent="0.25">
      <c r="A569" s="14">
        <v>28</v>
      </c>
      <c r="B569" s="15">
        <v>9.49</v>
      </c>
      <c r="C569" s="58">
        <v>80.47</v>
      </c>
      <c r="D569" s="14" t="s">
        <v>8</v>
      </c>
      <c r="E569" s="14"/>
      <c r="F569" s="14"/>
    </row>
    <row r="570" spans="1:6" ht="15.75" customHeight="1" x14ac:dyDescent="0.25">
      <c r="A570" s="14">
        <v>7</v>
      </c>
      <c r="B570" s="15">
        <v>9.5</v>
      </c>
      <c r="C570" s="58">
        <v>47.91</v>
      </c>
      <c r="D570" s="14" t="s">
        <v>9</v>
      </c>
      <c r="E570" s="14"/>
      <c r="F570" s="14"/>
    </row>
    <row r="571" spans="1:6" ht="15.75" customHeight="1" x14ac:dyDescent="0.25">
      <c r="A571" s="14">
        <v>15</v>
      </c>
      <c r="B571" s="15">
        <v>9.5299999999999994</v>
      </c>
      <c r="C571" s="58">
        <v>73.02</v>
      </c>
      <c r="D571" s="14" t="s">
        <v>9</v>
      </c>
      <c r="E571" s="14"/>
      <c r="F571" s="14"/>
    </row>
    <row r="572" spans="1:6" ht="15.75" customHeight="1" x14ac:dyDescent="0.25">
      <c r="A572" s="14">
        <v>21</v>
      </c>
      <c r="B572" s="15">
        <v>9.5299999999999994</v>
      </c>
      <c r="C572" s="58">
        <v>57.6</v>
      </c>
      <c r="D572" s="14" t="s">
        <v>9</v>
      </c>
      <c r="E572" s="14"/>
      <c r="F572" s="14"/>
    </row>
    <row r="573" spans="1:6" ht="15.75" customHeight="1" x14ac:dyDescent="0.25">
      <c r="A573" s="14">
        <v>35</v>
      </c>
      <c r="B573" s="15">
        <v>9.56</v>
      </c>
      <c r="C573" s="58">
        <v>67.12</v>
      </c>
      <c r="D573" s="14" t="s">
        <v>9</v>
      </c>
      <c r="E573" s="14"/>
      <c r="F573" s="14"/>
    </row>
    <row r="574" spans="1:6" ht="15.75" customHeight="1" x14ac:dyDescent="0.25">
      <c r="A574" s="14">
        <v>9</v>
      </c>
      <c r="B574" s="15">
        <v>9.57</v>
      </c>
      <c r="C574" s="58">
        <v>80.03</v>
      </c>
      <c r="D574" s="14" t="s">
        <v>9</v>
      </c>
      <c r="E574" s="14"/>
      <c r="F574" s="14"/>
    </row>
    <row r="575" spans="1:6" ht="15.75" customHeight="1" x14ac:dyDescent="0.25">
      <c r="A575" s="14">
        <v>48</v>
      </c>
      <c r="B575" s="15">
        <v>9.58</v>
      </c>
      <c r="C575" s="58">
        <v>77.38</v>
      </c>
      <c r="D575" s="14" t="s">
        <v>8</v>
      </c>
      <c r="E575" s="14"/>
      <c r="F575" s="14"/>
    </row>
    <row r="576" spans="1:6" ht="15.75" customHeight="1" x14ac:dyDescent="0.25">
      <c r="A576" s="14">
        <v>21</v>
      </c>
      <c r="B576" s="15">
        <v>9.58</v>
      </c>
      <c r="C576" s="58">
        <v>57.83</v>
      </c>
      <c r="D576" s="14" t="s">
        <v>9</v>
      </c>
      <c r="E576" s="14"/>
      <c r="F576" s="14"/>
    </row>
    <row r="577" spans="1:6" ht="15.75" customHeight="1" x14ac:dyDescent="0.25">
      <c r="A577" s="14">
        <v>15</v>
      </c>
      <c r="B577" s="15">
        <v>9.59</v>
      </c>
      <c r="C577" s="58">
        <v>71.150000000000006</v>
      </c>
      <c r="D577" s="14" t="s">
        <v>8</v>
      </c>
      <c r="E577" s="14"/>
      <c r="F577" s="14"/>
    </row>
    <row r="578" spans="1:6" ht="15.75" customHeight="1" x14ac:dyDescent="0.25">
      <c r="A578" s="14">
        <v>31</v>
      </c>
      <c r="B578" s="15">
        <v>9.6</v>
      </c>
      <c r="C578" s="58">
        <v>79.55</v>
      </c>
      <c r="D578" s="14" t="s">
        <v>8</v>
      </c>
      <c r="E578" s="14"/>
      <c r="F578" s="14"/>
    </row>
    <row r="579" spans="1:6" ht="15.75" customHeight="1" x14ac:dyDescent="0.25">
      <c r="A579" s="14">
        <v>46</v>
      </c>
      <c r="B579" s="15">
        <v>9.6199999999999992</v>
      </c>
      <c r="C579" s="58">
        <v>92.89</v>
      </c>
      <c r="D579" s="14" t="s">
        <v>9</v>
      </c>
      <c r="E579" s="14"/>
      <c r="F579" s="14"/>
    </row>
    <row r="580" spans="1:6" ht="15.75" customHeight="1" x14ac:dyDescent="0.25">
      <c r="A580" s="14">
        <v>54</v>
      </c>
      <c r="B580" s="15">
        <v>9.6199999999999992</v>
      </c>
      <c r="C580" s="58">
        <v>67.069999999999993</v>
      </c>
      <c r="D580" s="14" t="s">
        <v>9</v>
      </c>
      <c r="E580" s="14"/>
      <c r="F580" s="14"/>
    </row>
    <row r="581" spans="1:6" ht="15.75" customHeight="1" x14ac:dyDescent="0.25">
      <c r="A581" s="14">
        <v>16</v>
      </c>
      <c r="B581" s="15">
        <v>9.65</v>
      </c>
      <c r="C581" s="58">
        <v>53.41</v>
      </c>
      <c r="D581" s="14" t="s">
        <v>8</v>
      </c>
      <c r="E581" s="14"/>
      <c r="F581" s="14"/>
    </row>
    <row r="582" spans="1:6" ht="15.75" customHeight="1" x14ac:dyDescent="0.25">
      <c r="A582" s="14">
        <v>8</v>
      </c>
      <c r="B582" s="15">
        <v>9.66</v>
      </c>
      <c r="C582" s="58">
        <v>63.34</v>
      </c>
      <c r="D582" s="14" t="s">
        <v>9</v>
      </c>
      <c r="E582" s="14"/>
      <c r="F582" s="14"/>
    </row>
    <row r="583" spans="1:6" ht="15.75" customHeight="1" x14ac:dyDescent="0.25">
      <c r="A583" s="14">
        <v>17</v>
      </c>
      <c r="B583" s="15">
        <v>9.66</v>
      </c>
      <c r="C583" s="58">
        <v>55.39</v>
      </c>
      <c r="D583" s="14" t="s">
        <v>9</v>
      </c>
      <c r="E583" s="14"/>
      <c r="F583" s="14"/>
    </row>
    <row r="584" spans="1:6" ht="15.75" customHeight="1" x14ac:dyDescent="0.25">
      <c r="A584" s="14">
        <v>25</v>
      </c>
      <c r="B584" s="15">
        <v>9.67</v>
      </c>
      <c r="C584" s="58">
        <v>93.01</v>
      </c>
      <c r="D584" s="14" t="s">
        <v>8</v>
      </c>
      <c r="E584" s="14"/>
      <c r="F584" s="14"/>
    </row>
    <row r="585" spans="1:6" ht="15.75" customHeight="1" x14ac:dyDescent="0.25">
      <c r="A585" s="14">
        <v>26</v>
      </c>
      <c r="B585" s="15">
        <v>9.68</v>
      </c>
      <c r="C585" s="58">
        <v>132.72999999999999</v>
      </c>
      <c r="D585" s="14" t="s">
        <v>9</v>
      </c>
      <c r="E585" s="14"/>
      <c r="F585" s="14"/>
    </row>
    <row r="586" spans="1:6" ht="15.75" customHeight="1" x14ac:dyDescent="0.25">
      <c r="A586" s="14">
        <v>15</v>
      </c>
      <c r="B586" s="15">
        <v>9.69</v>
      </c>
      <c r="C586" s="58">
        <v>100.72</v>
      </c>
      <c r="D586" s="14" t="s">
        <v>9</v>
      </c>
      <c r="E586" s="14"/>
      <c r="F586" s="14"/>
    </row>
    <row r="587" spans="1:6" ht="15.75" customHeight="1" x14ac:dyDescent="0.25">
      <c r="A587" s="14">
        <v>14</v>
      </c>
      <c r="B587" s="15">
        <v>9.69</v>
      </c>
      <c r="C587" s="58">
        <v>82.07</v>
      </c>
      <c r="D587" s="14" t="s">
        <v>9</v>
      </c>
      <c r="E587" s="14"/>
      <c r="F587" s="14"/>
    </row>
    <row r="588" spans="1:6" ht="15.75" customHeight="1" x14ac:dyDescent="0.25">
      <c r="A588" s="14">
        <v>2</v>
      </c>
      <c r="B588" s="15">
        <v>9.73</v>
      </c>
      <c r="C588" s="58">
        <v>94.71</v>
      </c>
      <c r="D588" s="14" t="s">
        <v>9</v>
      </c>
      <c r="E588" s="14"/>
      <c r="F588" s="14"/>
    </row>
    <row r="589" spans="1:6" ht="15.75" customHeight="1" x14ac:dyDescent="0.25">
      <c r="A589" s="14">
        <v>31</v>
      </c>
      <c r="B589" s="15">
        <v>9.73</v>
      </c>
      <c r="C589" s="58">
        <v>74.14</v>
      </c>
      <c r="D589" s="14" t="s">
        <v>8</v>
      </c>
      <c r="E589" s="14"/>
      <c r="F589" s="14"/>
    </row>
    <row r="590" spans="1:6" ht="15.75" customHeight="1" x14ac:dyDescent="0.25">
      <c r="A590" s="14">
        <v>32</v>
      </c>
      <c r="B590" s="15">
        <v>9.74</v>
      </c>
      <c r="C590" s="58">
        <v>89.32</v>
      </c>
      <c r="D590" s="14" t="s">
        <v>9</v>
      </c>
      <c r="E590" s="14"/>
      <c r="F590" s="14"/>
    </row>
    <row r="591" spans="1:6" ht="15.75" customHeight="1" x14ac:dyDescent="0.25">
      <c r="A591" s="14">
        <v>10</v>
      </c>
      <c r="B591" s="15">
        <v>9.75</v>
      </c>
      <c r="C591" s="58">
        <v>51.12</v>
      </c>
      <c r="D591" s="14" t="s">
        <v>8</v>
      </c>
      <c r="E591" s="14"/>
      <c r="F591" s="14"/>
    </row>
    <row r="592" spans="1:6" ht="15.75" customHeight="1" x14ac:dyDescent="0.25">
      <c r="A592" s="14">
        <v>25</v>
      </c>
      <c r="B592" s="15">
        <v>9.77</v>
      </c>
      <c r="C592" s="58">
        <v>81.569999999999993</v>
      </c>
      <c r="D592" s="14" t="s">
        <v>8</v>
      </c>
      <c r="E592" s="14"/>
      <c r="F592" s="14"/>
    </row>
    <row r="593" spans="1:6" ht="15.75" customHeight="1" x14ac:dyDescent="0.25">
      <c r="A593" s="14">
        <v>27</v>
      </c>
      <c r="B593" s="15">
        <v>9.7799999999999994</v>
      </c>
      <c r="C593" s="58">
        <v>109.79</v>
      </c>
      <c r="D593" s="14" t="s">
        <v>9</v>
      </c>
      <c r="E593" s="14"/>
      <c r="F593" s="14"/>
    </row>
    <row r="594" spans="1:6" ht="15.75" customHeight="1" x14ac:dyDescent="0.25">
      <c r="A594" s="14">
        <v>31</v>
      </c>
      <c r="B594" s="15">
        <v>9.84</v>
      </c>
      <c r="C594" s="58">
        <v>108.17</v>
      </c>
      <c r="D594" s="14" t="s">
        <v>9</v>
      </c>
      <c r="E594" s="14"/>
      <c r="F594" s="14"/>
    </row>
    <row r="595" spans="1:6" ht="15.75" customHeight="1" x14ac:dyDescent="0.25">
      <c r="A595" s="14">
        <v>10</v>
      </c>
      <c r="B595" s="15">
        <v>9.85</v>
      </c>
      <c r="C595" s="58">
        <v>42.98</v>
      </c>
      <c r="D595" s="14" t="s">
        <v>9</v>
      </c>
      <c r="E595" s="14"/>
      <c r="F595" s="14"/>
    </row>
    <row r="596" spans="1:6" ht="15.75" customHeight="1" x14ac:dyDescent="0.25">
      <c r="A596" s="14">
        <v>4</v>
      </c>
      <c r="B596" s="15">
        <v>9.86</v>
      </c>
      <c r="C596" s="58">
        <v>72.349999999999994</v>
      </c>
      <c r="D596" s="14" t="s">
        <v>9</v>
      </c>
      <c r="E596" s="14"/>
      <c r="F596" s="14"/>
    </row>
    <row r="597" spans="1:6" ht="15.75" customHeight="1" x14ac:dyDescent="0.25">
      <c r="A597" s="14">
        <v>22</v>
      </c>
      <c r="B597" s="15">
        <v>9.8699999999999992</v>
      </c>
      <c r="C597" s="58">
        <v>84.28</v>
      </c>
      <c r="D597" s="14" t="s">
        <v>8</v>
      </c>
      <c r="E597" s="14"/>
      <c r="F597" s="14"/>
    </row>
    <row r="598" spans="1:6" ht="15.75" customHeight="1" x14ac:dyDescent="0.25">
      <c r="A598" s="14">
        <v>28</v>
      </c>
      <c r="B598" s="15">
        <v>9.8699999999999992</v>
      </c>
      <c r="C598" s="58">
        <v>77.92</v>
      </c>
      <c r="D598" s="14" t="s">
        <v>9</v>
      </c>
      <c r="E598" s="14"/>
      <c r="F598" s="14"/>
    </row>
    <row r="599" spans="1:6" ht="15.75" customHeight="1" x14ac:dyDescent="0.25">
      <c r="A599" s="14">
        <v>38</v>
      </c>
      <c r="B599" s="15">
        <v>9.8800000000000008</v>
      </c>
      <c r="C599" s="58">
        <v>51.89</v>
      </c>
      <c r="D599" s="14" t="s">
        <v>9</v>
      </c>
      <c r="E599" s="14"/>
      <c r="F599" s="14"/>
    </row>
    <row r="600" spans="1:6" ht="15.75" customHeight="1" x14ac:dyDescent="0.25">
      <c r="A600" s="14">
        <v>62</v>
      </c>
      <c r="B600" s="15">
        <v>9.91</v>
      </c>
      <c r="C600" s="58">
        <v>77.400000000000006</v>
      </c>
      <c r="D600" s="14" t="s">
        <v>8</v>
      </c>
      <c r="E600" s="14"/>
      <c r="F600" s="14"/>
    </row>
    <row r="601" spans="1:6" ht="15.75" customHeight="1" x14ac:dyDescent="0.25">
      <c r="A601" s="14">
        <v>24</v>
      </c>
      <c r="B601" s="15">
        <v>9.91</v>
      </c>
      <c r="C601" s="58">
        <v>62.71</v>
      </c>
      <c r="D601" s="14" t="s">
        <v>8</v>
      </c>
      <c r="E601" s="14"/>
      <c r="F601" s="14"/>
    </row>
    <row r="602" spans="1:6" ht="15.75" customHeight="1" x14ac:dyDescent="0.25">
      <c r="A602" s="14">
        <v>46</v>
      </c>
      <c r="B602" s="15">
        <v>9.93</v>
      </c>
      <c r="C602" s="58">
        <v>80.16</v>
      </c>
      <c r="D602" s="14" t="s">
        <v>8</v>
      </c>
      <c r="E602" s="14"/>
      <c r="F602" s="14"/>
    </row>
    <row r="603" spans="1:6" ht="15.75" customHeight="1" x14ac:dyDescent="0.25">
      <c r="A603" s="14">
        <v>34</v>
      </c>
      <c r="B603" s="15">
        <v>9.94</v>
      </c>
      <c r="C603" s="58">
        <v>81.680000000000007</v>
      </c>
      <c r="D603" s="14" t="s">
        <v>8</v>
      </c>
      <c r="E603" s="14"/>
      <c r="F603" s="14"/>
    </row>
    <row r="604" spans="1:6" ht="15.75" customHeight="1" x14ac:dyDescent="0.25">
      <c r="A604" s="14">
        <v>7</v>
      </c>
      <c r="B604" s="15">
        <v>9.9499999999999993</v>
      </c>
      <c r="C604" s="58">
        <v>80.989999999999995</v>
      </c>
      <c r="D604" s="14" t="s">
        <v>8</v>
      </c>
      <c r="E604" s="14"/>
      <c r="F604" s="14"/>
    </row>
    <row r="605" spans="1:6" ht="15.75" customHeight="1" x14ac:dyDescent="0.25">
      <c r="A605" s="14">
        <v>44</v>
      </c>
      <c r="B605" s="15">
        <v>9.9600000000000009</v>
      </c>
      <c r="C605" s="58">
        <v>78.3</v>
      </c>
      <c r="D605" s="14" t="s">
        <v>8</v>
      </c>
      <c r="E605" s="14"/>
      <c r="F605" s="14"/>
    </row>
    <row r="606" spans="1:6" ht="15.75" customHeight="1" x14ac:dyDescent="0.25">
      <c r="A606" s="14">
        <v>9</v>
      </c>
      <c r="B606" s="15">
        <v>9.9600000000000009</v>
      </c>
      <c r="C606" s="58">
        <v>50.61</v>
      </c>
      <c r="D606" s="14" t="s">
        <v>8</v>
      </c>
      <c r="E606" s="14"/>
      <c r="F606" s="14"/>
    </row>
    <row r="607" spans="1:6" ht="15.75" customHeight="1" x14ac:dyDescent="0.25">
      <c r="A607" s="14">
        <v>15</v>
      </c>
      <c r="B607" s="15">
        <v>9.98</v>
      </c>
      <c r="C607" s="58">
        <v>83.73</v>
      </c>
      <c r="D607" s="14" t="s">
        <v>8</v>
      </c>
      <c r="E607" s="14"/>
      <c r="F607" s="14"/>
    </row>
    <row r="608" spans="1:6" ht="15.75" customHeight="1" x14ac:dyDescent="0.25">
      <c r="A608" s="14">
        <v>34</v>
      </c>
      <c r="B608" s="15">
        <v>9.99</v>
      </c>
      <c r="C608" s="58">
        <v>92.22</v>
      </c>
      <c r="D608" s="14" t="s">
        <v>9</v>
      </c>
      <c r="E608" s="14"/>
      <c r="F608" s="14"/>
    </row>
    <row r="609" spans="1:6" ht="15.75" customHeight="1" x14ac:dyDescent="0.25">
      <c r="A609" s="14">
        <v>36</v>
      </c>
      <c r="B609" s="15">
        <v>9.99</v>
      </c>
      <c r="C609" s="58">
        <v>78.39</v>
      </c>
      <c r="D609" s="14" t="s">
        <v>8</v>
      </c>
      <c r="E609" s="14"/>
      <c r="F609" s="14"/>
    </row>
    <row r="610" spans="1:6" ht="15.75" customHeight="1" x14ac:dyDescent="0.25">
      <c r="A610" s="14">
        <v>18</v>
      </c>
      <c r="B610" s="15">
        <v>9.99</v>
      </c>
      <c r="C610" s="58">
        <v>75.739999999999995</v>
      </c>
      <c r="D610" s="14" t="s">
        <v>8</v>
      </c>
      <c r="E610" s="14"/>
      <c r="F610" s="14"/>
    </row>
    <row r="611" spans="1:6" ht="15.75" customHeight="1" x14ac:dyDescent="0.25">
      <c r="A611" s="14">
        <v>16</v>
      </c>
      <c r="B611" s="15">
        <v>9.99</v>
      </c>
      <c r="C611" s="58">
        <v>64.83</v>
      </c>
      <c r="D611" s="14" t="s">
        <v>9</v>
      </c>
      <c r="E611" s="14"/>
      <c r="F611" s="14"/>
    </row>
    <row r="612" spans="1:6" ht="15.75" customHeight="1" x14ac:dyDescent="0.25">
      <c r="A612" s="14">
        <v>26</v>
      </c>
      <c r="B612" s="15">
        <v>10</v>
      </c>
      <c r="C612" s="58">
        <v>98.34</v>
      </c>
      <c r="D612" s="14" t="s">
        <v>9</v>
      </c>
      <c r="E612" s="14"/>
      <c r="F612" s="14"/>
    </row>
    <row r="613" spans="1:6" ht="15.75" customHeight="1" x14ac:dyDescent="0.25">
      <c r="A613" s="14">
        <v>17</v>
      </c>
      <c r="B613" s="15">
        <v>10</v>
      </c>
      <c r="C613" s="58">
        <v>88.16</v>
      </c>
      <c r="D613" s="14" t="s">
        <v>9</v>
      </c>
      <c r="E613" s="14"/>
      <c r="F613" s="14"/>
    </row>
    <row r="614" spans="1:6" ht="15.75" customHeight="1" x14ac:dyDescent="0.25">
      <c r="A614" s="14">
        <v>17</v>
      </c>
      <c r="B614" s="15">
        <v>10.1</v>
      </c>
      <c r="C614" s="58">
        <v>87.63</v>
      </c>
      <c r="D614" s="14" t="s">
        <v>9</v>
      </c>
      <c r="E614" s="14"/>
      <c r="F614" s="14"/>
    </row>
    <row r="615" spans="1:6" ht="15.75" customHeight="1" x14ac:dyDescent="0.25">
      <c r="A615" s="14">
        <v>17</v>
      </c>
      <c r="B615" s="15">
        <v>10.199999999999999</v>
      </c>
      <c r="C615" s="58">
        <v>45.79</v>
      </c>
      <c r="D615" s="14" t="s">
        <v>9</v>
      </c>
      <c r="E615" s="14"/>
      <c r="F615" s="14"/>
    </row>
    <row r="616" spans="1:6" ht="15.75" customHeight="1" x14ac:dyDescent="0.25">
      <c r="A616" s="14">
        <v>44</v>
      </c>
      <c r="B616" s="15">
        <v>10.3</v>
      </c>
      <c r="C616" s="58">
        <v>89.49</v>
      </c>
      <c r="D616" s="14" t="s">
        <v>9</v>
      </c>
      <c r="E616" s="14"/>
      <c r="F616" s="14"/>
    </row>
    <row r="617" spans="1:6" ht="15.75" customHeight="1" x14ac:dyDescent="0.25">
      <c r="A617" s="14">
        <v>4</v>
      </c>
      <c r="B617" s="15">
        <v>10.4</v>
      </c>
      <c r="C617" s="58">
        <v>103.09</v>
      </c>
      <c r="D617" s="14" t="s">
        <v>9</v>
      </c>
      <c r="E617" s="14"/>
      <c r="F617" s="14"/>
    </row>
    <row r="618" spans="1:6" ht="15.75" customHeight="1" x14ac:dyDescent="0.25">
      <c r="A618" s="14">
        <v>21</v>
      </c>
      <c r="B618" s="15">
        <v>10.6</v>
      </c>
      <c r="C618" s="58">
        <v>85.37</v>
      </c>
      <c r="D618" s="14" t="s">
        <v>9</v>
      </c>
      <c r="E618" s="14"/>
      <c r="F618" s="14"/>
    </row>
    <row r="619" spans="1:6" ht="15.75" customHeight="1" x14ac:dyDescent="0.25">
      <c r="A619" s="14">
        <v>40</v>
      </c>
      <c r="B619" s="15">
        <v>10.6</v>
      </c>
      <c r="C619" s="58">
        <v>80</v>
      </c>
      <c r="D619" s="14" t="s">
        <v>9</v>
      </c>
      <c r="E619" s="14"/>
      <c r="F619" s="14"/>
    </row>
    <row r="620" spans="1:6" ht="15.75" customHeight="1" x14ac:dyDescent="0.25">
      <c r="A620" s="14">
        <v>13</v>
      </c>
      <c r="B620" s="15">
        <v>10.6</v>
      </c>
      <c r="C620" s="58">
        <v>51.82</v>
      </c>
      <c r="D620" s="14" t="s">
        <v>9</v>
      </c>
      <c r="E620" s="14"/>
      <c r="F620" s="14"/>
    </row>
    <row r="621" spans="1:6" ht="15.75" customHeight="1" x14ac:dyDescent="0.25">
      <c r="A621" s="14">
        <v>2</v>
      </c>
      <c r="B621" s="15">
        <v>10.7</v>
      </c>
      <c r="C621" s="58">
        <v>99.73</v>
      </c>
      <c r="D621" s="14" t="s">
        <v>9</v>
      </c>
      <c r="E621" s="14"/>
      <c r="F621" s="14"/>
    </row>
    <row r="622" spans="1:6" ht="15.75" customHeight="1" x14ac:dyDescent="0.25">
      <c r="A622" s="14">
        <v>22</v>
      </c>
      <c r="B622" s="15">
        <v>10.7</v>
      </c>
      <c r="C622" s="58">
        <v>82.02</v>
      </c>
      <c r="D622" s="14" t="s">
        <v>9</v>
      </c>
      <c r="E622" s="14"/>
      <c r="F622" s="14"/>
    </row>
    <row r="623" spans="1:6" ht="15.75" customHeight="1" x14ac:dyDescent="0.25">
      <c r="A623" s="14">
        <v>15</v>
      </c>
      <c r="B623" s="15">
        <v>10.9</v>
      </c>
      <c r="C623" s="58">
        <v>77.13</v>
      </c>
      <c r="D623" s="14" t="s">
        <v>9</v>
      </c>
      <c r="E623" s="14"/>
      <c r="F623" s="14"/>
    </row>
    <row r="624" spans="1:6" ht="15.75" customHeight="1" x14ac:dyDescent="0.25">
      <c r="A624" s="14">
        <v>33</v>
      </c>
      <c r="B624" s="15">
        <v>11</v>
      </c>
      <c r="C624" s="58">
        <v>63.32</v>
      </c>
      <c r="D624" s="14" t="s">
        <v>9</v>
      </c>
      <c r="E624" s="14"/>
      <c r="F624" s="14"/>
    </row>
    <row r="625" spans="1:6" ht="15.75" customHeight="1" x14ac:dyDescent="0.25">
      <c r="A625" s="14">
        <v>18</v>
      </c>
      <c r="B625" s="15">
        <v>11.1</v>
      </c>
      <c r="C625" s="58">
        <v>100.82</v>
      </c>
      <c r="D625" s="14" t="s">
        <v>9</v>
      </c>
      <c r="E625" s="14"/>
      <c r="F625" s="14"/>
    </row>
    <row r="626" spans="1:6" ht="15.75" customHeight="1" x14ac:dyDescent="0.25">
      <c r="A626" s="14">
        <v>41</v>
      </c>
      <c r="B626" s="15">
        <v>11.1</v>
      </c>
      <c r="C626" s="58">
        <v>67.2</v>
      </c>
      <c r="D626" s="14" t="s">
        <v>9</v>
      </c>
      <c r="E626" s="14"/>
      <c r="F626" s="14"/>
    </row>
    <row r="627" spans="1:6" ht="15.75" customHeight="1" x14ac:dyDescent="0.25">
      <c r="A627" s="14">
        <v>22</v>
      </c>
      <c r="B627" s="15">
        <v>11.3</v>
      </c>
      <c r="C627" s="58">
        <v>99.6</v>
      </c>
      <c r="D627" s="14" t="s">
        <v>9</v>
      </c>
      <c r="E627" s="14"/>
      <c r="F627" s="14"/>
    </row>
    <row r="628" spans="1:6" ht="15.75" customHeight="1" x14ac:dyDescent="0.25">
      <c r="A628" s="14">
        <v>27</v>
      </c>
      <c r="B628" s="15">
        <v>11.3</v>
      </c>
      <c r="C628" s="58">
        <v>92.43</v>
      </c>
      <c r="D628" s="14" t="s">
        <v>9</v>
      </c>
      <c r="E628" s="14"/>
      <c r="F628" s="14"/>
    </row>
    <row r="629" spans="1:6" ht="15.75" customHeight="1" x14ac:dyDescent="0.25">
      <c r="A629" s="14">
        <v>36</v>
      </c>
      <c r="B629" s="15">
        <v>11.3</v>
      </c>
      <c r="C629" s="58">
        <v>87.75</v>
      </c>
      <c r="D629" s="14" t="s">
        <v>9</v>
      </c>
      <c r="E629" s="14"/>
    </row>
    <row r="630" spans="1:6" ht="15.75" customHeight="1" x14ac:dyDescent="0.25">
      <c r="A630" s="14">
        <v>27</v>
      </c>
      <c r="B630" s="15">
        <v>11.4</v>
      </c>
      <c r="C630" s="58">
        <v>56.37</v>
      </c>
      <c r="D630" s="14" t="s">
        <v>9</v>
      </c>
      <c r="E630" s="14"/>
    </row>
    <row r="631" spans="1:6" ht="15.75" customHeight="1" x14ac:dyDescent="0.25">
      <c r="A631" s="14">
        <v>51</v>
      </c>
      <c r="B631" s="15">
        <v>11.5</v>
      </c>
      <c r="C631" s="58">
        <v>118.49</v>
      </c>
      <c r="D631" s="14" t="s">
        <v>9</v>
      </c>
      <c r="E631" s="14"/>
    </row>
    <row r="632" spans="1:6" ht="15.75" customHeight="1" x14ac:dyDescent="0.25">
      <c r="A632" s="14">
        <v>31</v>
      </c>
      <c r="B632" s="15">
        <v>11.6</v>
      </c>
      <c r="C632" s="58">
        <v>95.39</v>
      </c>
      <c r="D632" s="14" t="s">
        <v>9</v>
      </c>
      <c r="E632" s="14"/>
    </row>
    <row r="633" spans="1:6" ht="15.75" customHeight="1" x14ac:dyDescent="0.25">
      <c r="A633" s="14">
        <v>10</v>
      </c>
      <c r="B633" s="15">
        <v>11.6</v>
      </c>
      <c r="C633" s="58">
        <v>64.5</v>
      </c>
      <c r="D633" s="14" t="s">
        <v>9</v>
      </c>
      <c r="E633" s="14"/>
    </row>
    <row r="634" spans="1:6" ht="15.75" customHeight="1" x14ac:dyDescent="0.25">
      <c r="A634" s="14">
        <v>41</v>
      </c>
      <c r="B634" s="15">
        <v>11.7</v>
      </c>
      <c r="C634" s="58">
        <v>93.63</v>
      </c>
      <c r="D634" s="14" t="s">
        <v>9</v>
      </c>
      <c r="E634" s="14"/>
    </row>
    <row r="635" spans="1:6" ht="15.75" customHeight="1" x14ac:dyDescent="0.25">
      <c r="A635" s="14">
        <v>26</v>
      </c>
      <c r="B635" s="15">
        <v>11.8</v>
      </c>
      <c r="C635" s="58">
        <v>105.6</v>
      </c>
      <c r="D635" s="14" t="s">
        <v>9</v>
      </c>
      <c r="E635" s="14"/>
    </row>
    <row r="636" spans="1:6" ht="15.75" customHeight="1" x14ac:dyDescent="0.25">
      <c r="A636" s="14">
        <v>45</v>
      </c>
      <c r="B636" s="15">
        <v>11.8</v>
      </c>
      <c r="C636" s="58">
        <v>78.2</v>
      </c>
      <c r="D636" s="14" t="s">
        <v>9</v>
      </c>
      <c r="E636" s="14"/>
    </row>
    <row r="637" spans="1:6" ht="15.75" customHeight="1" x14ac:dyDescent="0.25">
      <c r="A637" s="14">
        <v>23</v>
      </c>
      <c r="B637" s="15">
        <v>11.8</v>
      </c>
      <c r="C637" s="58">
        <v>74.97</v>
      </c>
      <c r="D637" s="14" t="s">
        <v>9</v>
      </c>
      <c r="E637" s="14"/>
    </row>
    <row r="638" spans="1:6" ht="15.75" customHeight="1" x14ac:dyDescent="0.25">
      <c r="A638" s="14">
        <v>33</v>
      </c>
      <c r="B638" s="15">
        <v>11.9</v>
      </c>
      <c r="C638" s="58">
        <v>114.96</v>
      </c>
      <c r="D638" s="14" t="s">
        <v>9</v>
      </c>
      <c r="E638" s="14"/>
    </row>
    <row r="639" spans="1:6" ht="15.75" customHeight="1" x14ac:dyDescent="0.25">
      <c r="A639" s="14">
        <v>20</v>
      </c>
      <c r="B639" s="15">
        <v>11.9</v>
      </c>
      <c r="C639" s="58">
        <v>95.17</v>
      </c>
      <c r="D639" s="14" t="s">
        <v>9</v>
      </c>
      <c r="E639" s="14"/>
    </row>
    <row r="640" spans="1:6" ht="15.75" customHeight="1" x14ac:dyDescent="0.25">
      <c r="A640" s="14">
        <v>16</v>
      </c>
      <c r="B640" s="15">
        <v>11.9</v>
      </c>
      <c r="C640" s="58">
        <v>79.23</v>
      </c>
      <c r="D640" s="14" t="s">
        <v>9</v>
      </c>
      <c r="E640" s="14"/>
    </row>
    <row r="641" spans="1:5" ht="15.75" customHeight="1" x14ac:dyDescent="0.25">
      <c r="A641" s="14">
        <v>3</v>
      </c>
      <c r="B641" s="15">
        <v>12</v>
      </c>
      <c r="C641" s="58">
        <v>95.73</v>
      </c>
      <c r="D641" s="14" t="s">
        <v>9</v>
      </c>
      <c r="E641" s="14"/>
    </row>
    <row r="642" spans="1:5" ht="15.75" customHeight="1" x14ac:dyDescent="0.25">
      <c r="A642" s="14">
        <v>25</v>
      </c>
      <c r="B642" s="15">
        <v>12</v>
      </c>
      <c r="C642" s="58">
        <v>83.21</v>
      </c>
      <c r="D642" s="14" t="s">
        <v>9</v>
      </c>
      <c r="E642" s="14"/>
    </row>
    <row r="643" spans="1:5" ht="15.75" customHeight="1" x14ac:dyDescent="0.25">
      <c r="A643" s="14">
        <v>40</v>
      </c>
      <c r="B643" s="15">
        <v>12.1</v>
      </c>
      <c r="C643" s="58">
        <v>94.07</v>
      </c>
      <c r="D643" s="14" t="s">
        <v>9</v>
      </c>
      <c r="E643" s="14"/>
    </row>
    <row r="644" spans="1:5" ht="15.75" customHeight="1" x14ac:dyDescent="0.25">
      <c r="A644" s="14">
        <v>30</v>
      </c>
      <c r="B644" s="15">
        <v>12.1</v>
      </c>
      <c r="C644" s="58">
        <v>92.08</v>
      </c>
      <c r="D644" s="14" t="s">
        <v>9</v>
      </c>
      <c r="E644" s="14"/>
    </row>
    <row r="645" spans="1:5" ht="15.75" customHeight="1" x14ac:dyDescent="0.25">
      <c r="A645" s="14">
        <v>23</v>
      </c>
      <c r="B645" s="15">
        <v>12.1</v>
      </c>
      <c r="C645" s="58">
        <v>83.86</v>
      </c>
      <c r="D645" s="14" t="s">
        <v>9</v>
      </c>
      <c r="E645" s="14"/>
    </row>
    <row r="646" spans="1:5" ht="15.75" customHeight="1" x14ac:dyDescent="0.25">
      <c r="A646" s="14">
        <v>46</v>
      </c>
      <c r="B646" s="15">
        <v>12.2</v>
      </c>
      <c r="C646" s="58">
        <v>90.89</v>
      </c>
      <c r="D646" s="14" t="s">
        <v>9</v>
      </c>
      <c r="E646" s="14"/>
    </row>
    <row r="647" spans="1:5" ht="15.75" customHeight="1" x14ac:dyDescent="0.25">
      <c r="A647" s="14">
        <v>30</v>
      </c>
      <c r="B647" s="15">
        <v>12.2</v>
      </c>
      <c r="C647" s="58">
        <v>79.36</v>
      </c>
      <c r="D647" s="14" t="s">
        <v>9</v>
      </c>
      <c r="E647" s="14"/>
    </row>
    <row r="648" spans="1:5" ht="15.75" customHeight="1" x14ac:dyDescent="0.25">
      <c r="A648" s="14">
        <v>29</v>
      </c>
      <c r="B648" s="15">
        <v>12.2</v>
      </c>
      <c r="C648" s="58">
        <v>57.01</v>
      </c>
      <c r="D648" s="14" t="s">
        <v>9</v>
      </c>
      <c r="E648" s="14"/>
    </row>
    <row r="649" spans="1:5" ht="15.75" customHeight="1" x14ac:dyDescent="0.25">
      <c r="A649" s="14">
        <v>28</v>
      </c>
      <c r="B649" s="15">
        <v>12.3</v>
      </c>
      <c r="C649" s="58">
        <v>103.88</v>
      </c>
      <c r="D649" s="14" t="s">
        <v>9</v>
      </c>
      <c r="E649" s="14"/>
    </row>
    <row r="650" spans="1:5" ht="15.75" customHeight="1" x14ac:dyDescent="0.25">
      <c r="A650" s="14">
        <v>35</v>
      </c>
      <c r="B650" s="15">
        <v>12.4</v>
      </c>
      <c r="C650" s="58">
        <v>109.42</v>
      </c>
      <c r="D650" s="14" t="s">
        <v>9</v>
      </c>
      <c r="E650" s="14"/>
    </row>
    <row r="651" spans="1:5" ht="15.75" customHeight="1" x14ac:dyDescent="0.25">
      <c r="A651" s="14">
        <v>22</v>
      </c>
      <c r="B651" s="15">
        <v>12.4</v>
      </c>
      <c r="C651" s="58">
        <v>96.74</v>
      </c>
      <c r="D651" s="14" t="s">
        <v>9</v>
      </c>
      <c r="E651" s="14"/>
    </row>
    <row r="652" spans="1:5" ht="15.75" customHeight="1" x14ac:dyDescent="0.25">
      <c r="A652" s="14">
        <v>2</v>
      </c>
      <c r="B652" s="15">
        <v>12.4</v>
      </c>
      <c r="C652" s="58">
        <v>90.66</v>
      </c>
      <c r="D652" s="14" t="s">
        <v>9</v>
      </c>
      <c r="E652" s="14"/>
    </row>
    <row r="653" spans="1:5" ht="15.75" customHeight="1" x14ac:dyDescent="0.25">
      <c r="A653" s="14">
        <v>25</v>
      </c>
      <c r="B653" s="15">
        <v>12.5</v>
      </c>
      <c r="C653" s="58">
        <v>110.81</v>
      </c>
      <c r="D653" s="14" t="s">
        <v>9</v>
      </c>
      <c r="E653" s="14"/>
    </row>
    <row r="654" spans="1:5" ht="15.75" customHeight="1" x14ac:dyDescent="0.25">
      <c r="A654" s="14">
        <v>39</v>
      </c>
      <c r="B654" s="15">
        <v>12.5</v>
      </c>
      <c r="C654" s="58">
        <v>105.61</v>
      </c>
      <c r="D654" s="14" t="s">
        <v>9</v>
      </c>
      <c r="E654" s="14"/>
    </row>
    <row r="655" spans="1:5" ht="15.75" customHeight="1" x14ac:dyDescent="0.25">
      <c r="A655" s="14">
        <v>41</v>
      </c>
      <c r="B655" s="15">
        <v>12.5</v>
      </c>
      <c r="C655" s="58">
        <v>100.55</v>
      </c>
      <c r="D655" s="14" t="s">
        <v>9</v>
      </c>
      <c r="E655" s="14"/>
    </row>
    <row r="656" spans="1:5" ht="15.75" customHeight="1" x14ac:dyDescent="0.25">
      <c r="A656" s="14">
        <v>41</v>
      </c>
      <c r="B656" s="15">
        <v>12.5</v>
      </c>
      <c r="C656" s="58">
        <v>99.72</v>
      </c>
      <c r="D656" s="14" t="s">
        <v>9</v>
      </c>
      <c r="E656" s="14"/>
    </row>
    <row r="657" spans="1:5" ht="15.75" customHeight="1" x14ac:dyDescent="0.25">
      <c r="A657" s="14">
        <v>15</v>
      </c>
      <c r="B657" s="15">
        <v>12.6</v>
      </c>
      <c r="C657" s="58">
        <v>120.86</v>
      </c>
      <c r="D657" s="14" t="s">
        <v>9</v>
      </c>
      <c r="E657" s="14"/>
    </row>
    <row r="658" spans="1:5" ht="15.75" customHeight="1" x14ac:dyDescent="0.25">
      <c r="A658" s="14">
        <v>19</v>
      </c>
      <c r="B658" s="15">
        <v>12.7</v>
      </c>
      <c r="C658" s="58">
        <v>89.68</v>
      </c>
      <c r="D658" s="14" t="s">
        <v>9</v>
      </c>
      <c r="E658" s="14"/>
    </row>
    <row r="659" spans="1:5" ht="15.75" customHeight="1" x14ac:dyDescent="0.25">
      <c r="A659" s="14">
        <v>22</v>
      </c>
      <c r="B659" s="15">
        <v>12.7</v>
      </c>
      <c r="C659" s="58">
        <v>88.57</v>
      </c>
      <c r="D659" s="14" t="s">
        <v>9</v>
      </c>
      <c r="E659" s="14"/>
    </row>
    <row r="660" spans="1:5" ht="15.75" customHeight="1" x14ac:dyDescent="0.25">
      <c r="A660" s="14">
        <v>36</v>
      </c>
      <c r="B660" s="15">
        <v>12.8</v>
      </c>
      <c r="C660" s="58">
        <v>91.79</v>
      </c>
      <c r="D660" s="14" t="s">
        <v>9</v>
      </c>
      <c r="E660" s="14"/>
    </row>
    <row r="661" spans="1:5" ht="15.75" customHeight="1" x14ac:dyDescent="0.25">
      <c r="A661" s="14">
        <v>57</v>
      </c>
      <c r="B661" s="15">
        <v>13</v>
      </c>
      <c r="C661" s="58">
        <v>67.31</v>
      </c>
      <c r="D661" s="14" t="s">
        <v>9</v>
      </c>
      <c r="E661" s="14"/>
    </row>
  </sheetData>
  <phoneticPr fontId="16" type="noConversion"/>
  <conditionalFormatting sqref="B662:B1048576">
    <cfRule type="cellIs" dxfId="2" priority="1" operator="greaterThanOrEqual">
      <formula>9.3</formula>
    </cfRule>
    <cfRule type="cellIs" dxfId="1" priority="2" stopIfTrue="1" operator="greaterThanOrEqual">
      <formula>"9.30"</formula>
    </cfRule>
    <cfRule type="cellIs" dxfId="0" priority="3" stopIfTrue="1" operator="lessThanOrEqual">
      <formula>4</formula>
    </cfRule>
  </conditionalFormatting>
  <pageMargins left="0.7" right="0.7" top="0.75" bottom="0.75" header="0" footer="0"/>
  <pageSetup orientation="landscape"/>
  <drawing r:id="rId4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9"/>
  </sheetPr>
  <dimension ref="A1:I869"/>
  <sheetViews>
    <sheetView showGridLines="0" topLeftCell="A2" zoomScale="66" zoomScaleNormal="66" workbookViewId="0">
      <selection activeCell="J10" sqref="J10"/>
    </sheetView>
  </sheetViews>
  <sheetFormatPr baseColWidth="10" defaultColWidth="14.42578125" defaultRowHeight="15" customHeight="1" x14ac:dyDescent="0.25"/>
  <cols>
    <col min="1" max="1" width="15.7109375" customWidth="1"/>
    <col min="2" max="2" width="33.42578125" customWidth="1"/>
    <col min="3" max="3" width="13.5703125" style="61" bestFit="1" customWidth="1"/>
    <col min="4" max="4" width="24.85546875" bestFit="1" customWidth="1"/>
    <col min="5" max="5" width="17.7109375" bestFit="1" customWidth="1"/>
    <col min="6" max="6" width="29.140625" bestFit="1" customWidth="1"/>
    <col min="7" max="7" width="31.7109375" bestFit="1" customWidth="1"/>
    <col min="8" max="8" width="11.140625" bestFit="1" customWidth="1"/>
    <col min="9" max="9" width="11.5703125" bestFit="1" customWidth="1"/>
    <col min="10" max="15" width="12" bestFit="1" customWidth="1"/>
    <col min="16" max="16" width="11.5703125" bestFit="1" customWidth="1"/>
    <col min="17" max="19" width="12" bestFit="1" customWidth="1"/>
    <col min="20" max="20" width="12.42578125" bestFit="1" customWidth="1"/>
    <col min="21" max="21" width="11.5703125" bestFit="1" customWidth="1"/>
    <col min="22" max="25" width="12" bestFit="1" customWidth="1"/>
    <col min="26" max="29" width="12.42578125" bestFit="1" customWidth="1"/>
    <col min="30" max="31" width="12" bestFit="1" customWidth="1"/>
    <col min="32" max="34" width="12.42578125" bestFit="1" customWidth="1"/>
    <col min="35" max="35" width="12" bestFit="1" customWidth="1"/>
    <col min="36" max="44" width="12.42578125" bestFit="1" customWidth="1"/>
    <col min="45" max="45" width="12" bestFit="1" customWidth="1"/>
    <col min="46" max="48" width="12.42578125" bestFit="1" customWidth="1"/>
    <col min="49" max="49" width="12" bestFit="1" customWidth="1"/>
    <col min="50" max="56" width="12.42578125" bestFit="1" customWidth="1"/>
    <col min="57" max="57" width="12" bestFit="1" customWidth="1"/>
    <col min="58" max="59" width="11.5703125" bestFit="1" customWidth="1"/>
    <col min="60" max="64" width="12" bestFit="1" customWidth="1"/>
    <col min="65" max="67" width="12.42578125" bestFit="1" customWidth="1"/>
    <col min="68" max="68" width="12" bestFit="1" customWidth="1"/>
    <col min="69" max="72" width="12.42578125" bestFit="1" customWidth="1"/>
    <col min="73" max="73" width="12" bestFit="1" customWidth="1"/>
    <col min="74" max="78" width="12.42578125" bestFit="1" customWidth="1"/>
    <col min="79" max="79" width="11.5703125" bestFit="1" customWidth="1"/>
    <col min="80" max="87" width="12.42578125" bestFit="1" customWidth="1"/>
    <col min="88" max="90" width="12" bestFit="1" customWidth="1"/>
    <col min="91" max="92" width="12.42578125" bestFit="1" customWidth="1"/>
    <col min="93" max="93" width="12" bestFit="1" customWidth="1"/>
    <col min="94" max="101" width="12.42578125" bestFit="1" customWidth="1"/>
    <col min="102" max="103" width="12" bestFit="1" customWidth="1"/>
    <col min="104" max="105" width="12.42578125" bestFit="1" customWidth="1"/>
    <col min="106" max="106" width="12" bestFit="1" customWidth="1"/>
    <col min="107" max="109" width="12.42578125" bestFit="1" customWidth="1"/>
    <col min="110" max="110" width="12" bestFit="1" customWidth="1"/>
    <col min="111" max="115" width="12.42578125" bestFit="1" customWidth="1"/>
    <col min="116" max="118" width="12" bestFit="1" customWidth="1"/>
    <col min="119" max="121" width="12.42578125" bestFit="1" customWidth="1"/>
    <col min="122" max="129" width="12" bestFit="1" customWidth="1"/>
    <col min="130" max="132" width="12.42578125" bestFit="1" customWidth="1"/>
    <col min="133" max="133" width="12" bestFit="1" customWidth="1"/>
    <col min="134" max="134" width="12.42578125" bestFit="1" customWidth="1"/>
    <col min="135" max="135" width="12" bestFit="1" customWidth="1"/>
    <col min="136" max="136" width="12.42578125" bestFit="1" customWidth="1"/>
    <col min="137" max="138" width="12" bestFit="1" customWidth="1"/>
    <col min="139" max="142" width="12.42578125" bestFit="1" customWidth="1"/>
    <col min="143" max="143" width="12" bestFit="1" customWidth="1"/>
    <col min="144" max="145" width="12.42578125" bestFit="1" customWidth="1"/>
    <col min="146" max="146" width="12" bestFit="1" customWidth="1"/>
    <col min="147" max="149" width="12.42578125" bestFit="1" customWidth="1"/>
    <col min="150" max="150" width="12" bestFit="1" customWidth="1"/>
    <col min="151" max="164" width="12.42578125" bestFit="1" customWidth="1"/>
    <col min="165" max="165" width="12" bestFit="1" customWidth="1"/>
    <col min="166" max="173" width="12.42578125" bestFit="1" customWidth="1"/>
    <col min="174" max="174" width="12" bestFit="1" customWidth="1"/>
    <col min="175" max="186" width="12.42578125" bestFit="1" customWidth="1"/>
    <col min="187" max="187" width="12" bestFit="1" customWidth="1"/>
    <col min="188" max="190" width="12.42578125" bestFit="1" customWidth="1"/>
    <col min="191" max="191" width="12" bestFit="1" customWidth="1"/>
    <col min="192" max="192" width="12.42578125" bestFit="1" customWidth="1"/>
    <col min="193" max="194" width="12" bestFit="1" customWidth="1"/>
    <col min="195" max="204" width="12.42578125" bestFit="1" customWidth="1"/>
    <col min="205" max="205" width="12" bestFit="1" customWidth="1"/>
    <col min="206" max="206" width="12.42578125" bestFit="1" customWidth="1"/>
    <col min="207" max="207" width="12" bestFit="1" customWidth="1"/>
    <col min="208" max="209" width="12.42578125" bestFit="1" customWidth="1"/>
    <col min="210" max="210" width="12" bestFit="1" customWidth="1"/>
    <col min="211" max="215" width="12.42578125" bestFit="1" customWidth="1"/>
    <col min="216" max="216" width="12" bestFit="1" customWidth="1"/>
    <col min="217" max="224" width="12.42578125" bestFit="1" customWidth="1"/>
    <col min="225" max="225" width="12" bestFit="1" customWidth="1"/>
    <col min="226" max="227" width="11.5703125" bestFit="1" customWidth="1"/>
    <col min="228" max="238" width="12" bestFit="1" customWidth="1"/>
    <col min="239" max="240" width="12.42578125" bestFit="1" customWidth="1"/>
    <col min="241" max="241" width="12" bestFit="1" customWidth="1"/>
    <col min="242" max="245" width="12.42578125" bestFit="1" customWidth="1"/>
    <col min="246" max="247" width="12" bestFit="1" customWidth="1"/>
    <col min="248" max="249" width="12.42578125" bestFit="1" customWidth="1"/>
    <col min="250" max="250" width="12" bestFit="1" customWidth="1"/>
    <col min="251" max="253" width="12.42578125" bestFit="1" customWidth="1"/>
    <col min="254" max="254" width="12" bestFit="1" customWidth="1"/>
    <col min="255" max="256" width="12.42578125" bestFit="1" customWidth="1"/>
    <col min="257" max="258" width="12" bestFit="1" customWidth="1"/>
    <col min="259" max="261" width="12.42578125" bestFit="1" customWidth="1"/>
    <col min="262" max="262" width="12" bestFit="1" customWidth="1"/>
    <col min="263" max="266" width="12.42578125" bestFit="1" customWidth="1"/>
    <col min="267" max="267" width="12" bestFit="1" customWidth="1"/>
    <col min="268" max="269" width="12.42578125" bestFit="1" customWidth="1"/>
    <col min="270" max="270" width="12" bestFit="1" customWidth="1"/>
    <col min="271" max="275" width="12.42578125" bestFit="1" customWidth="1"/>
    <col min="276" max="277" width="12" bestFit="1" customWidth="1"/>
    <col min="278" max="278" width="12.42578125" bestFit="1" customWidth="1"/>
    <col min="279" max="279" width="12" bestFit="1" customWidth="1"/>
    <col min="280" max="280" width="12.42578125" bestFit="1" customWidth="1"/>
    <col min="281" max="281" width="12" bestFit="1" customWidth="1"/>
    <col min="282" max="299" width="12.42578125" bestFit="1" customWidth="1"/>
    <col min="300" max="300" width="12" bestFit="1" customWidth="1"/>
    <col min="301" max="301" width="12.42578125" bestFit="1" customWidth="1"/>
    <col min="302" max="303" width="12" bestFit="1" customWidth="1"/>
    <col min="304" max="312" width="12.42578125" bestFit="1" customWidth="1"/>
    <col min="313" max="314" width="12" bestFit="1" customWidth="1"/>
    <col min="315" max="315" width="12.42578125" bestFit="1" customWidth="1"/>
    <col min="316" max="316" width="12" bestFit="1" customWidth="1"/>
    <col min="317" max="320" width="12.42578125" bestFit="1" customWidth="1"/>
    <col min="321" max="321" width="12" bestFit="1" customWidth="1"/>
    <col min="322" max="322" width="12.42578125" bestFit="1" customWidth="1"/>
    <col min="323" max="323" width="12" bestFit="1" customWidth="1"/>
    <col min="324" max="328" width="12.42578125" bestFit="1" customWidth="1"/>
    <col min="329" max="329" width="12" bestFit="1" customWidth="1"/>
    <col min="330" max="332" width="12.42578125" bestFit="1" customWidth="1"/>
    <col min="333" max="334" width="12" bestFit="1" customWidth="1"/>
    <col min="335" max="335" width="11.5703125" bestFit="1" customWidth="1"/>
    <col min="336" max="340" width="12" bestFit="1" customWidth="1"/>
    <col min="341" max="341" width="11.5703125" bestFit="1" customWidth="1"/>
    <col min="342" max="346" width="12" bestFit="1" customWidth="1"/>
    <col min="347" max="347" width="12.42578125" bestFit="1" customWidth="1"/>
    <col min="348" max="348" width="12" bestFit="1" customWidth="1"/>
    <col min="349" max="351" width="12.42578125" bestFit="1" customWidth="1"/>
    <col min="352" max="352" width="12" bestFit="1" customWidth="1"/>
    <col min="353" max="359" width="12.42578125" bestFit="1" customWidth="1"/>
    <col min="360" max="361" width="12" bestFit="1" customWidth="1"/>
    <col min="362" max="366" width="12.42578125" bestFit="1" customWidth="1"/>
    <col min="367" max="367" width="12" bestFit="1" customWidth="1"/>
    <col min="368" max="370" width="12.42578125" bestFit="1" customWidth="1"/>
    <col min="371" max="371" width="12" bestFit="1" customWidth="1"/>
    <col min="372" max="376" width="12.42578125" bestFit="1" customWidth="1"/>
    <col min="377" max="377" width="12" bestFit="1" customWidth="1"/>
    <col min="378" max="381" width="12.42578125" bestFit="1" customWidth="1"/>
    <col min="382" max="384" width="12" bestFit="1" customWidth="1"/>
    <col min="385" max="391" width="12.42578125" bestFit="1" customWidth="1"/>
    <col min="392" max="394" width="12" bestFit="1" customWidth="1"/>
    <col min="395" max="399" width="12.42578125" bestFit="1" customWidth="1"/>
    <col min="400" max="400" width="12" bestFit="1" customWidth="1"/>
    <col min="401" max="405" width="12.42578125" bestFit="1" customWidth="1"/>
    <col min="406" max="407" width="12" bestFit="1" customWidth="1"/>
    <col min="408" max="411" width="12.42578125" bestFit="1" customWidth="1"/>
    <col min="412" max="412" width="12" bestFit="1" customWidth="1"/>
    <col min="413" max="421" width="12.42578125" bestFit="1" customWidth="1"/>
    <col min="422" max="422" width="12" bestFit="1" customWidth="1"/>
    <col min="423" max="426" width="12.42578125" bestFit="1" customWidth="1"/>
    <col min="427" max="427" width="12" bestFit="1" customWidth="1"/>
    <col min="428" max="431" width="12.42578125" bestFit="1" customWidth="1"/>
    <col min="432" max="433" width="12" bestFit="1" customWidth="1"/>
    <col min="434" max="442" width="12.42578125" bestFit="1" customWidth="1"/>
    <col min="443" max="443" width="12" bestFit="1" customWidth="1"/>
    <col min="444" max="445" width="12.42578125" bestFit="1" customWidth="1"/>
    <col min="446" max="447" width="12" bestFit="1" customWidth="1"/>
    <col min="448" max="448" width="11.5703125" bestFit="1" customWidth="1"/>
    <col min="449" max="453" width="12" bestFit="1" customWidth="1"/>
    <col min="454" max="456" width="12.42578125" bestFit="1" customWidth="1"/>
    <col min="457" max="457" width="12" bestFit="1" customWidth="1"/>
    <col min="458" max="470" width="12.42578125" bestFit="1" customWidth="1"/>
    <col min="471" max="471" width="12" bestFit="1" customWidth="1"/>
    <col min="472" max="472" width="12.42578125" bestFit="1" customWidth="1"/>
    <col min="473" max="473" width="12" bestFit="1" customWidth="1"/>
    <col min="474" max="474" width="12.42578125" bestFit="1" customWidth="1"/>
    <col min="475" max="475" width="12" bestFit="1" customWidth="1"/>
    <col min="476" max="485" width="12.42578125" bestFit="1" customWidth="1"/>
    <col min="486" max="486" width="12" bestFit="1" customWidth="1"/>
    <col min="487" max="494" width="12.42578125" bestFit="1" customWidth="1"/>
    <col min="495" max="497" width="12" bestFit="1" customWidth="1"/>
    <col min="498" max="526" width="12.42578125" bestFit="1" customWidth="1"/>
    <col min="527" max="529" width="12" bestFit="1" customWidth="1"/>
    <col min="530" max="532" width="12.42578125" bestFit="1" customWidth="1"/>
    <col min="533" max="538" width="12" bestFit="1" customWidth="1"/>
    <col min="539" max="541" width="12.42578125" bestFit="1" customWidth="1"/>
    <col min="542" max="542" width="12" bestFit="1" customWidth="1"/>
    <col min="543" max="544" width="12.42578125" bestFit="1" customWidth="1"/>
    <col min="545" max="546" width="12" bestFit="1" customWidth="1"/>
    <col min="547" max="551" width="12.42578125" bestFit="1" customWidth="1"/>
    <col min="552" max="552" width="12" bestFit="1" customWidth="1"/>
    <col min="553" max="564" width="12.42578125" bestFit="1" customWidth="1"/>
    <col min="565" max="565" width="12" bestFit="1" customWidth="1"/>
    <col min="566" max="569" width="12.42578125" bestFit="1" customWidth="1"/>
    <col min="570" max="570" width="12" bestFit="1" customWidth="1"/>
    <col min="571" max="576" width="12.42578125" bestFit="1" customWidth="1"/>
    <col min="577" max="577" width="12" bestFit="1" customWidth="1"/>
    <col min="578" max="587" width="12.42578125" bestFit="1" customWidth="1"/>
    <col min="588" max="588" width="11.5703125" bestFit="1" customWidth="1"/>
    <col min="589" max="592" width="12" bestFit="1" customWidth="1"/>
    <col min="593" max="599" width="12.42578125" bestFit="1" customWidth="1"/>
    <col min="600" max="600" width="12" bestFit="1" customWidth="1"/>
    <col min="601" max="603" width="12.42578125" bestFit="1" customWidth="1"/>
    <col min="604" max="605" width="12" bestFit="1" customWidth="1"/>
    <col min="606" max="609" width="12.42578125" bestFit="1" customWidth="1"/>
    <col min="610" max="610" width="12" bestFit="1" customWidth="1"/>
    <col min="611" max="616" width="12.42578125" bestFit="1" customWidth="1"/>
    <col min="617" max="621" width="13.5703125" bestFit="1" customWidth="1"/>
    <col min="622" max="622" width="13.140625" bestFit="1" customWidth="1"/>
    <col min="623" max="627" width="13.5703125" bestFit="1" customWidth="1"/>
    <col min="628" max="629" width="13.140625" bestFit="1" customWidth="1"/>
    <col min="630" max="631" width="13.5703125" bestFit="1" customWidth="1"/>
    <col min="632" max="632" width="13.140625" bestFit="1" customWidth="1"/>
    <col min="633" max="633" width="12.7109375" bestFit="1" customWidth="1"/>
    <col min="634" max="638" width="13.140625" bestFit="1" customWidth="1"/>
    <col min="639" max="640" width="13.5703125" bestFit="1" customWidth="1"/>
    <col min="641" max="641" width="27.140625" bestFit="1" customWidth="1"/>
    <col min="642" max="645" width="11" bestFit="1" customWidth="1"/>
    <col min="646" max="646" width="12" bestFit="1" customWidth="1"/>
    <col min="647" max="647" width="11.140625" bestFit="1" customWidth="1"/>
    <col min="648" max="648" width="11.5703125" bestFit="1" customWidth="1"/>
    <col min="649" max="654" width="12" bestFit="1" customWidth="1"/>
    <col min="655" max="655" width="11.5703125" bestFit="1" customWidth="1"/>
    <col min="656" max="658" width="12" bestFit="1" customWidth="1"/>
    <col min="659" max="659" width="12.42578125" bestFit="1" customWidth="1"/>
    <col min="660" max="660" width="11.5703125" bestFit="1" customWidth="1"/>
    <col min="661" max="664" width="12" bestFit="1" customWidth="1"/>
    <col min="665" max="668" width="12.42578125" bestFit="1" customWidth="1"/>
    <col min="669" max="670" width="12" bestFit="1" customWidth="1"/>
    <col min="671" max="673" width="12.42578125" bestFit="1" customWidth="1"/>
    <col min="674" max="674" width="12" bestFit="1" customWidth="1"/>
    <col min="675" max="683" width="12.42578125" bestFit="1" customWidth="1"/>
    <col min="684" max="684" width="12" bestFit="1" customWidth="1"/>
    <col min="685" max="687" width="12.42578125" bestFit="1" customWidth="1"/>
    <col min="688" max="688" width="12" bestFit="1" customWidth="1"/>
    <col min="689" max="695" width="12.42578125" bestFit="1" customWidth="1"/>
    <col min="696" max="696" width="12" bestFit="1" customWidth="1"/>
    <col min="697" max="698" width="11.5703125" bestFit="1" customWidth="1"/>
    <col min="699" max="703" width="12" bestFit="1" customWidth="1"/>
    <col min="704" max="706" width="12.42578125" bestFit="1" customWidth="1"/>
    <col min="707" max="707" width="12" bestFit="1" customWidth="1"/>
    <col min="708" max="711" width="12.42578125" bestFit="1" customWidth="1"/>
    <col min="712" max="712" width="12" bestFit="1" customWidth="1"/>
    <col min="713" max="717" width="12.42578125" bestFit="1" customWidth="1"/>
    <col min="718" max="718" width="11.5703125" bestFit="1" customWidth="1"/>
    <col min="719" max="726" width="12.42578125" bestFit="1" customWidth="1"/>
    <col min="727" max="729" width="12" bestFit="1" customWidth="1"/>
    <col min="730" max="731" width="12.42578125" bestFit="1" customWidth="1"/>
    <col min="732" max="732" width="12" bestFit="1" customWidth="1"/>
    <col min="733" max="740" width="12.42578125" bestFit="1" customWidth="1"/>
    <col min="741" max="742" width="12" bestFit="1" customWidth="1"/>
    <col min="743" max="744" width="12.42578125" bestFit="1" customWidth="1"/>
    <col min="745" max="745" width="12" bestFit="1" customWidth="1"/>
    <col min="746" max="748" width="12.42578125" bestFit="1" customWidth="1"/>
    <col min="749" max="749" width="12" bestFit="1" customWidth="1"/>
    <col min="750" max="754" width="12.42578125" bestFit="1" customWidth="1"/>
    <col min="755" max="757" width="12" bestFit="1" customWidth="1"/>
    <col min="758" max="760" width="12.42578125" bestFit="1" customWidth="1"/>
    <col min="761" max="768" width="12" bestFit="1" customWidth="1"/>
    <col min="769" max="771" width="12.42578125" bestFit="1" customWidth="1"/>
    <col min="772" max="772" width="12" bestFit="1" customWidth="1"/>
    <col min="773" max="773" width="12.42578125" bestFit="1" customWidth="1"/>
    <col min="774" max="774" width="12" bestFit="1" customWidth="1"/>
    <col min="775" max="775" width="12.42578125" bestFit="1" customWidth="1"/>
    <col min="776" max="777" width="12" bestFit="1" customWidth="1"/>
    <col min="778" max="781" width="12.42578125" bestFit="1" customWidth="1"/>
    <col min="782" max="782" width="12" bestFit="1" customWidth="1"/>
    <col min="783" max="784" width="12.42578125" bestFit="1" customWidth="1"/>
    <col min="785" max="785" width="12" bestFit="1" customWidth="1"/>
    <col min="786" max="788" width="12.42578125" bestFit="1" customWidth="1"/>
    <col min="789" max="789" width="12" bestFit="1" customWidth="1"/>
    <col min="790" max="803" width="12.42578125" bestFit="1" customWidth="1"/>
    <col min="804" max="804" width="12" bestFit="1" customWidth="1"/>
    <col min="805" max="812" width="12.42578125" bestFit="1" customWidth="1"/>
    <col min="813" max="813" width="12" bestFit="1" customWidth="1"/>
    <col min="814" max="825" width="12.42578125" bestFit="1" customWidth="1"/>
    <col min="826" max="826" width="12" bestFit="1" customWidth="1"/>
    <col min="827" max="829" width="12.42578125" bestFit="1" customWidth="1"/>
    <col min="830" max="830" width="12" bestFit="1" customWidth="1"/>
    <col min="831" max="831" width="12.42578125" bestFit="1" customWidth="1"/>
    <col min="832" max="833" width="12" bestFit="1" customWidth="1"/>
    <col min="834" max="843" width="12.42578125" bestFit="1" customWidth="1"/>
    <col min="844" max="844" width="12" bestFit="1" customWidth="1"/>
    <col min="845" max="845" width="12.42578125" bestFit="1" customWidth="1"/>
    <col min="846" max="846" width="12" bestFit="1" customWidth="1"/>
    <col min="847" max="848" width="12.42578125" bestFit="1" customWidth="1"/>
    <col min="849" max="849" width="12" bestFit="1" customWidth="1"/>
    <col min="850" max="854" width="12.42578125" bestFit="1" customWidth="1"/>
    <col min="855" max="855" width="12" bestFit="1" customWidth="1"/>
    <col min="856" max="863" width="12.42578125" bestFit="1" customWidth="1"/>
    <col min="864" max="864" width="12" bestFit="1" customWidth="1"/>
    <col min="865" max="866" width="11.5703125" bestFit="1" customWidth="1"/>
    <col min="867" max="877" width="12" bestFit="1" customWidth="1"/>
    <col min="878" max="879" width="12.42578125" bestFit="1" customWidth="1"/>
    <col min="880" max="880" width="12" bestFit="1" customWidth="1"/>
    <col min="881" max="884" width="12.42578125" bestFit="1" customWidth="1"/>
    <col min="885" max="886" width="12" bestFit="1" customWidth="1"/>
    <col min="887" max="888" width="12.42578125" bestFit="1" customWidth="1"/>
    <col min="889" max="889" width="12" bestFit="1" customWidth="1"/>
    <col min="890" max="892" width="12.42578125" bestFit="1" customWidth="1"/>
    <col min="893" max="893" width="12" bestFit="1" customWidth="1"/>
    <col min="894" max="895" width="12.42578125" bestFit="1" customWidth="1"/>
    <col min="896" max="897" width="12" bestFit="1" customWidth="1"/>
    <col min="898" max="900" width="12.42578125" bestFit="1" customWidth="1"/>
    <col min="901" max="901" width="12" bestFit="1" customWidth="1"/>
    <col min="902" max="905" width="12.42578125" bestFit="1" customWidth="1"/>
    <col min="906" max="906" width="12" bestFit="1" customWidth="1"/>
    <col min="907" max="908" width="12.42578125" bestFit="1" customWidth="1"/>
    <col min="909" max="909" width="12" bestFit="1" customWidth="1"/>
    <col min="910" max="914" width="12.42578125" bestFit="1" customWidth="1"/>
    <col min="915" max="916" width="12" bestFit="1" customWidth="1"/>
    <col min="917" max="917" width="12.42578125" bestFit="1" customWidth="1"/>
    <col min="918" max="918" width="12" bestFit="1" customWidth="1"/>
    <col min="919" max="919" width="12.42578125" bestFit="1" customWidth="1"/>
    <col min="920" max="920" width="12" bestFit="1" customWidth="1"/>
    <col min="921" max="938" width="12.42578125" bestFit="1" customWidth="1"/>
    <col min="939" max="939" width="12" bestFit="1" customWidth="1"/>
    <col min="940" max="940" width="12.42578125" bestFit="1" customWidth="1"/>
    <col min="941" max="942" width="12" bestFit="1" customWidth="1"/>
    <col min="943" max="951" width="12.42578125" bestFit="1" customWidth="1"/>
    <col min="952" max="953" width="12" bestFit="1" customWidth="1"/>
    <col min="954" max="954" width="12.42578125" bestFit="1" customWidth="1"/>
    <col min="955" max="955" width="12" bestFit="1" customWidth="1"/>
    <col min="956" max="959" width="12.42578125" bestFit="1" customWidth="1"/>
    <col min="960" max="960" width="12" bestFit="1" customWidth="1"/>
    <col min="961" max="961" width="12.42578125" bestFit="1" customWidth="1"/>
    <col min="962" max="962" width="12" bestFit="1" customWidth="1"/>
    <col min="963" max="967" width="12.42578125" bestFit="1" customWidth="1"/>
    <col min="968" max="968" width="12" bestFit="1" customWidth="1"/>
    <col min="969" max="971" width="12.42578125" bestFit="1" customWidth="1"/>
    <col min="972" max="973" width="12" bestFit="1" customWidth="1"/>
    <col min="974" max="974" width="11.5703125" bestFit="1" customWidth="1"/>
    <col min="975" max="979" width="12" bestFit="1" customWidth="1"/>
    <col min="980" max="980" width="11.5703125" bestFit="1" customWidth="1"/>
    <col min="981" max="985" width="12" bestFit="1" customWidth="1"/>
    <col min="986" max="986" width="12.42578125" bestFit="1" customWidth="1"/>
    <col min="987" max="987" width="12" bestFit="1" customWidth="1"/>
    <col min="988" max="990" width="12.42578125" bestFit="1" customWidth="1"/>
    <col min="991" max="991" width="12" bestFit="1" customWidth="1"/>
    <col min="992" max="998" width="12.42578125" bestFit="1" customWidth="1"/>
    <col min="999" max="1000" width="12" bestFit="1" customWidth="1"/>
    <col min="1001" max="1005" width="12.42578125" bestFit="1" customWidth="1"/>
    <col min="1006" max="1006" width="12" bestFit="1" customWidth="1"/>
    <col min="1007" max="1009" width="12.42578125" bestFit="1" customWidth="1"/>
    <col min="1010" max="1010" width="12" bestFit="1" customWidth="1"/>
    <col min="1011" max="1015" width="12.42578125" bestFit="1" customWidth="1"/>
    <col min="1016" max="1016" width="12" bestFit="1" customWidth="1"/>
    <col min="1017" max="1020" width="12.42578125" bestFit="1" customWidth="1"/>
    <col min="1021" max="1023" width="12" bestFit="1" customWidth="1"/>
    <col min="1024" max="1030" width="12.42578125" bestFit="1" customWidth="1"/>
    <col min="1031" max="1033" width="12" bestFit="1" customWidth="1"/>
    <col min="1034" max="1038" width="12.42578125" bestFit="1" customWidth="1"/>
    <col min="1039" max="1039" width="12" bestFit="1" customWidth="1"/>
    <col min="1040" max="1044" width="12.42578125" bestFit="1" customWidth="1"/>
    <col min="1045" max="1046" width="12" bestFit="1" customWidth="1"/>
    <col min="1047" max="1050" width="12.42578125" bestFit="1" customWidth="1"/>
    <col min="1051" max="1051" width="12" bestFit="1" customWidth="1"/>
    <col min="1052" max="1060" width="12.42578125" bestFit="1" customWidth="1"/>
    <col min="1061" max="1061" width="12" bestFit="1" customWidth="1"/>
    <col min="1062" max="1065" width="12.42578125" bestFit="1" customWidth="1"/>
    <col min="1066" max="1066" width="12" bestFit="1" customWidth="1"/>
    <col min="1067" max="1070" width="12.42578125" bestFit="1" customWidth="1"/>
    <col min="1071" max="1072" width="12" bestFit="1" customWidth="1"/>
    <col min="1073" max="1081" width="12.42578125" bestFit="1" customWidth="1"/>
    <col min="1082" max="1082" width="12" bestFit="1" customWidth="1"/>
    <col min="1083" max="1084" width="12.42578125" bestFit="1" customWidth="1"/>
    <col min="1085" max="1086" width="12" bestFit="1" customWidth="1"/>
    <col min="1087" max="1087" width="11.5703125" bestFit="1" customWidth="1"/>
    <col min="1088" max="1092" width="12" bestFit="1" customWidth="1"/>
    <col min="1093" max="1095" width="12.42578125" bestFit="1" customWidth="1"/>
    <col min="1096" max="1096" width="12" bestFit="1" customWidth="1"/>
    <col min="1097" max="1109" width="12.42578125" bestFit="1" customWidth="1"/>
    <col min="1110" max="1110" width="12" bestFit="1" customWidth="1"/>
    <col min="1111" max="1111" width="12.42578125" bestFit="1" customWidth="1"/>
    <col min="1112" max="1112" width="12" bestFit="1" customWidth="1"/>
    <col min="1113" max="1113" width="12.42578125" bestFit="1" customWidth="1"/>
    <col min="1114" max="1114" width="12" bestFit="1" customWidth="1"/>
    <col min="1115" max="1124" width="12.42578125" bestFit="1" customWidth="1"/>
    <col min="1125" max="1125" width="12" bestFit="1" customWidth="1"/>
    <col min="1126" max="1133" width="12.42578125" bestFit="1" customWidth="1"/>
    <col min="1134" max="1136" width="12" bestFit="1" customWidth="1"/>
    <col min="1137" max="1165" width="12.42578125" bestFit="1" customWidth="1"/>
    <col min="1166" max="1168" width="12" bestFit="1" customWidth="1"/>
    <col min="1169" max="1171" width="12.42578125" bestFit="1" customWidth="1"/>
    <col min="1172" max="1177" width="12" bestFit="1" customWidth="1"/>
    <col min="1178" max="1180" width="12.42578125" bestFit="1" customWidth="1"/>
    <col min="1181" max="1181" width="12" bestFit="1" customWidth="1"/>
    <col min="1182" max="1183" width="12.42578125" bestFit="1" customWidth="1"/>
    <col min="1184" max="1185" width="12" bestFit="1" customWidth="1"/>
    <col min="1186" max="1190" width="12.42578125" bestFit="1" customWidth="1"/>
    <col min="1191" max="1191" width="12" bestFit="1" customWidth="1"/>
    <col min="1192" max="1203" width="12.42578125" bestFit="1" customWidth="1"/>
    <col min="1204" max="1204" width="12" bestFit="1" customWidth="1"/>
    <col min="1205" max="1208" width="12.42578125" bestFit="1" customWidth="1"/>
    <col min="1209" max="1209" width="12" bestFit="1" customWidth="1"/>
    <col min="1210" max="1215" width="12.42578125" bestFit="1" customWidth="1"/>
    <col min="1216" max="1216" width="12" bestFit="1" customWidth="1"/>
    <col min="1217" max="1226" width="12.42578125" bestFit="1" customWidth="1"/>
    <col min="1227" max="1227" width="11.5703125" bestFit="1" customWidth="1"/>
    <col min="1228" max="1231" width="12" bestFit="1" customWidth="1"/>
    <col min="1232" max="1238" width="12.42578125" bestFit="1" customWidth="1"/>
    <col min="1239" max="1239" width="12" bestFit="1" customWidth="1"/>
    <col min="1240" max="1242" width="12.42578125" bestFit="1" customWidth="1"/>
    <col min="1243" max="1244" width="12" bestFit="1" customWidth="1"/>
    <col min="1245" max="1248" width="12.42578125" bestFit="1" customWidth="1"/>
    <col min="1249" max="1249" width="12" bestFit="1" customWidth="1"/>
    <col min="1250" max="1255" width="12.42578125" bestFit="1" customWidth="1"/>
    <col min="1256" max="1260" width="13.5703125" bestFit="1" customWidth="1"/>
    <col min="1261" max="1261" width="13.140625" bestFit="1" customWidth="1"/>
    <col min="1262" max="1266" width="13.5703125" bestFit="1" customWidth="1"/>
    <col min="1267" max="1268" width="13.140625" bestFit="1" customWidth="1"/>
    <col min="1269" max="1270" width="13.5703125" bestFit="1" customWidth="1"/>
    <col min="1271" max="1271" width="13.140625" bestFit="1" customWidth="1"/>
    <col min="1272" max="1272" width="12.7109375" bestFit="1" customWidth="1"/>
    <col min="1273" max="1277" width="13.140625" bestFit="1" customWidth="1"/>
    <col min="1278" max="1279" width="13.5703125" bestFit="1" customWidth="1"/>
    <col min="1280" max="1280" width="29.140625" bestFit="1" customWidth="1"/>
    <col min="1281" max="1281" width="34.140625" bestFit="1" customWidth="1"/>
    <col min="1282" max="1282" width="21.85546875" bestFit="1" customWidth="1"/>
    <col min="1283" max="1283" width="14.5703125" bestFit="1" customWidth="1"/>
    <col min="1284" max="1284" width="21.28515625" bestFit="1" customWidth="1"/>
    <col min="1285" max="1285" width="14.140625" bestFit="1" customWidth="1"/>
    <col min="1286" max="1286" width="20.7109375" bestFit="1" customWidth="1"/>
    <col min="1287" max="1287" width="14.5703125" bestFit="1" customWidth="1"/>
    <col min="1288" max="1288" width="21.28515625" bestFit="1" customWidth="1"/>
    <col min="1289" max="1289" width="14.5703125" bestFit="1" customWidth="1"/>
    <col min="1290" max="1290" width="21.28515625" bestFit="1" customWidth="1"/>
    <col min="1291" max="1291" width="14.5703125" bestFit="1" customWidth="1"/>
    <col min="1292" max="1292" width="21.28515625" bestFit="1" customWidth="1"/>
    <col min="1293" max="1293" width="14.5703125" bestFit="1" customWidth="1"/>
    <col min="1294" max="1294" width="21.28515625" bestFit="1" customWidth="1"/>
    <col min="1295" max="1295" width="14.5703125" bestFit="1" customWidth="1"/>
    <col min="1296" max="1296" width="21.28515625" bestFit="1" customWidth="1"/>
    <col min="1297" max="1297" width="15" bestFit="1" customWidth="1"/>
    <col min="1298" max="1298" width="21.85546875" bestFit="1" customWidth="1"/>
    <col min="1299" max="1299" width="15" bestFit="1" customWidth="1"/>
    <col min="1300" max="1300" width="21.85546875" bestFit="1" customWidth="1"/>
    <col min="1301" max="1301" width="20" bestFit="1" customWidth="1"/>
  </cols>
  <sheetData>
    <row r="1" spans="1:9" x14ac:dyDescent="0.25">
      <c r="A1" s="12"/>
      <c r="B1" s="13"/>
      <c r="C1" s="60"/>
      <c r="D1" s="13"/>
      <c r="E1" s="13"/>
      <c r="F1" s="13"/>
      <c r="G1" s="13"/>
    </row>
    <row r="2" spans="1:9" ht="31.5" customHeight="1" thickBot="1" x14ac:dyDescent="0.45">
      <c r="A2" s="77" t="s">
        <v>22</v>
      </c>
      <c r="B2" s="63"/>
      <c r="C2" s="63"/>
      <c r="D2" s="63"/>
      <c r="E2" s="63"/>
      <c r="F2" s="63"/>
      <c r="G2" s="63"/>
      <c r="H2" s="63"/>
      <c r="I2" s="64"/>
    </row>
    <row r="3" spans="1:9" ht="15.75" customHeight="1" x14ac:dyDescent="0.25">
      <c r="D3" s="13"/>
      <c r="E3" s="13"/>
      <c r="F3" s="13"/>
      <c r="G3" s="13"/>
    </row>
    <row r="4" spans="1:9" ht="15.75" customHeight="1" x14ac:dyDescent="0.25">
      <c r="B4" s="50" t="s">
        <v>33</v>
      </c>
      <c r="C4"/>
    </row>
    <row r="5" spans="1:9" ht="15.75" customHeight="1" x14ac:dyDescent="0.25">
      <c r="B5" t="s">
        <v>41</v>
      </c>
      <c r="C5"/>
      <c r="D5" t="s">
        <v>36</v>
      </c>
      <c r="F5" t="s">
        <v>42</v>
      </c>
      <c r="G5" t="s">
        <v>39</v>
      </c>
    </row>
    <row r="6" spans="1:9" ht="15.75" customHeight="1" x14ac:dyDescent="0.25">
      <c r="A6" s="50" t="s">
        <v>40</v>
      </c>
      <c r="B6" t="s">
        <v>8</v>
      </c>
      <c r="C6" t="s">
        <v>9</v>
      </c>
      <c r="D6" t="s">
        <v>8</v>
      </c>
      <c r="E6" t="s">
        <v>9</v>
      </c>
    </row>
    <row r="7" spans="1:9" ht="15.75" customHeight="1" x14ac:dyDescent="0.25">
      <c r="A7" s="51">
        <v>1</v>
      </c>
      <c r="B7">
        <v>4</v>
      </c>
      <c r="C7">
        <v>5</v>
      </c>
      <c r="D7" s="57">
        <v>201.41</v>
      </c>
      <c r="E7" s="57">
        <v>233.41</v>
      </c>
      <c r="F7">
        <v>9</v>
      </c>
      <c r="G7" s="57">
        <v>434.82</v>
      </c>
    </row>
    <row r="8" spans="1:9" ht="15.75" customHeight="1" x14ac:dyDescent="0.25">
      <c r="A8" s="51">
        <v>2</v>
      </c>
      <c r="B8">
        <v>2</v>
      </c>
      <c r="C8">
        <v>10</v>
      </c>
      <c r="D8" s="57">
        <v>142.66</v>
      </c>
      <c r="E8" s="57">
        <v>728.97</v>
      </c>
      <c r="F8">
        <v>12</v>
      </c>
      <c r="G8" s="57">
        <v>871.63000000000011</v>
      </c>
    </row>
    <row r="9" spans="1:9" ht="15.75" customHeight="1" x14ac:dyDescent="0.25">
      <c r="A9" s="51">
        <v>3</v>
      </c>
      <c r="B9">
        <v>5</v>
      </c>
      <c r="C9">
        <v>4</v>
      </c>
      <c r="D9" s="57">
        <v>360.62</v>
      </c>
      <c r="E9" s="57">
        <v>275.13</v>
      </c>
      <c r="F9">
        <v>9</v>
      </c>
      <c r="G9" s="57">
        <v>635.75</v>
      </c>
    </row>
    <row r="10" spans="1:9" ht="15.75" customHeight="1" x14ac:dyDescent="0.25">
      <c r="A10" s="51">
        <v>4</v>
      </c>
      <c r="B10">
        <v>2</v>
      </c>
      <c r="C10">
        <v>4</v>
      </c>
      <c r="D10" s="57">
        <v>138.84</v>
      </c>
      <c r="E10" s="57">
        <v>272.82</v>
      </c>
      <c r="F10">
        <v>6</v>
      </c>
      <c r="G10" s="57">
        <v>411.66</v>
      </c>
    </row>
    <row r="11" spans="1:9" ht="15.75" customHeight="1" x14ac:dyDescent="0.25">
      <c r="A11" s="51">
        <v>5</v>
      </c>
      <c r="B11">
        <v>3</v>
      </c>
      <c r="C11">
        <v>10</v>
      </c>
      <c r="D11" s="57">
        <v>163.13999999999999</v>
      </c>
      <c r="E11" s="57">
        <v>580.52</v>
      </c>
      <c r="F11">
        <v>13</v>
      </c>
      <c r="G11" s="57">
        <v>743.66</v>
      </c>
    </row>
    <row r="12" spans="1:9" ht="15.75" customHeight="1" x14ac:dyDescent="0.25">
      <c r="A12" s="51">
        <v>6</v>
      </c>
      <c r="B12">
        <v>6</v>
      </c>
      <c r="C12">
        <v>4</v>
      </c>
      <c r="D12" s="57">
        <v>338.63000000000005</v>
      </c>
      <c r="E12" s="57">
        <v>248.14000000000001</v>
      </c>
      <c r="F12">
        <v>10</v>
      </c>
      <c r="G12" s="57">
        <v>586.77</v>
      </c>
    </row>
    <row r="13" spans="1:9" ht="15.75" customHeight="1" x14ac:dyDescent="0.25">
      <c r="A13" s="51">
        <v>7</v>
      </c>
      <c r="B13">
        <v>8</v>
      </c>
      <c r="C13">
        <v>8</v>
      </c>
      <c r="D13" s="57">
        <v>536.27</v>
      </c>
      <c r="E13" s="57">
        <v>320.99</v>
      </c>
      <c r="F13">
        <v>16</v>
      </c>
      <c r="G13" s="57">
        <v>857.25999999999988</v>
      </c>
    </row>
    <row r="14" spans="1:9" ht="15.75" customHeight="1" x14ac:dyDescent="0.25">
      <c r="A14" s="51">
        <v>8</v>
      </c>
      <c r="B14">
        <v>2</v>
      </c>
      <c r="C14">
        <v>7</v>
      </c>
      <c r="D14" s="57">
        <v>136.15</v>
      </c>
      <c r="E14" s="57">
        <v>373.76000000000005</v>
      </c>
      <c r="F14">
        <v>9</v>
      </c>
      <c r="G14" s="57">
        <v>509.91000000000008</v>
      </c>
    </row>
    <row r="15" spans="1:9" ht="15.75" customHeight="1" x14ac:dyDescent="0.25">
      <c r="A15" s="51">
        <v>9</v>
      </c>
      <c r="B15">
        <v>5</v>
      </c>
      <c r="C15">
        <v>11</v>
      </c>
      <c r="D15" s="57">
        <v>273.39000000000004</v>
      </c>
      <c r="E15" s="57">
        <v>608.83999999999992</v>
      </c>
      <c r="F15">
        <v>16</v>
      </c>
      <c r="G15" s="57">
        <v>882.23</v>
      </c>
    </row>
    <row r="16" spans="1:9" ht="15.75" customHeight="1" x14ac:dyDescent="0.25">
      <c r="A16" s="51">
        <v>10</v>
      </c>
      <c r="B16">
        <v>5</v>
      </c>
      <c r="C16">
        <v>10</v>
      </c>
      <c r="D16" s="57">
        <v>223.78</v>
      </c>
      <c r="E16" s="57">
        <v>523.89</v>
      </c>
      <c r="F16">
        <v>15</v>
      </c>
      <c r="G16" s="57">
        <v>747.67</v>
      </c>
    </row>
    <row r="17" spans="1:7" ht="15.75" customHeight="1" x14ac:dyDescent="0.25">
      <c r="A17" s="51">
        <v>11</v>
      </c>
      <c r="B17">
        <v>3</v>
      </c>
      <c r="C17">
        <v>2</v>
      </c>
      <c r="D17" s="57">
        <v>150.74</v>
      </c>
      <c r="E17" s="57">
        <v>99.86</v>
      </c>
      <c r="F17">
        <v>5</v>
      </c>
      <c r="G17" s="57">
        <v>250.6</v>
      </c>
    </row>
    <row r="18" spans="1:7" ht="15.75" customHeight="1" x14ac:dyDescent="0.25">
      <c r="A18" s="51">
        <v>12</v>
      </c>
      <c r="B18">
        <v>3</v>
      </c>
      <c r="C18">
        <v>5</v>
      </c>
      <c r="D18" s="57">
        <v>182.85000000000002</v>
      </c>
      <c r="E18" s="57">
        <v>260.83</v>
      </c>
      <c r="F18">
        <v>8</v>
      </c>
      <c r="G18" s="57">
        <v>443.68000000000006</v>
      </c>
    </row>
    <row r="19" spans="1:7" ht="15.75" customHeight="1" x14ac:dyDescent="0.25">
      <c r="A19" s="51">
        <v>13</v>
      </c>
      <c r="B19">
        <v>4</v>
      </c>
      <c r="C19">
        <v>7</v>
      </c>
      <c r="D19" s="57">
        <v>284.57</v>
      </c>
      <c r="E19" s="57">
        <v>311.83</v>
      </c>
      <c r="F19">
        <v>11</v>
      </c>
      <c r="G19" s="57">
        <v>596.4</v>
      </c>
    </row>
    <row r="20" spans="1:7" ht="15.75" customHeight="1" x14ac:dyDescent="0.25">
      <c r="A20" s="51">
        <v>14</v>
      </c>
      <c r="B20">
        <v>4</v>
      </c>
      <c r="C20">
        <v>10</v>
      </c>
      <c r="D20" s="57">
        <v>273.77999999999997</v>
      </c>
      <c r="E20" s="57">
        <v>612.15</v>
      </c>
      <c r="F20">
        <v>14</v>
      </c>
      <c r="G20" s="57">
        <v>885.93000000000006</v>
      </c>
    </row>
    <row r="21" spans="1:7" ht="15.75" customHeight="1" x14ac:dyDescent="0.25">
      <c r="A21" s="51">
        <v>15</v>
      </c>
      <c r="B21">
        <v>3</v>
      </c>
      <c r="C21">
        <v>13</v>
      </c>
      <c r="D21" s="57">
        <v>190.66</v>
      </c>
      <c r="E21" s="57">
        <v>872.34</v>
      </c>
      <c r="F21">
        <v>16</v>
      </c>
      <c r="G21" s="57">
        <v>1063</v>
      </c>
    </row>
    <row r="22" spans="1:7" ht="15.75" customHeight="1" x14ac:dyDescent="0.25">
      <c r="A22" s="51">
        <v>16</v>
      </c>
      <c r="B22">
        <v>6</v>
      </c>
      <c r="C22">
        <v>8</v>
      </c>
      <c r="D22" s="57">
        <v>378.16</v>
      </c>
      <c r="E22" s="57">
        <v>588.88</v>
      </c>
      <c r="F22">
        <v>14</v>
      </c>
      <c r="G22" s="57">
        <v>967.04000000000008</v>
      </c>
    </row>
    <row r="23" spans="1:7" ht="15.75" customHeight="1" x14ac:dyDescent="0.25">
      <c r="A23" s="51">
        <v>17</v>
      </c>
      <c r="B23">
        <v>3</v>
      </c>
      <c r="C23">
        <v>13</v>
      </c>
      <c r="D23" s="57">
        <v>125.60999999999999</v>
      </c>
      <c r="E23" s="57">
        <v>783.24999999999989</v>
      </c>
      <c r="F23">
        <v>16</v>
      </c>
      <c r="G23" s="57">
        <v>908.8599999999999</v>
      </c>
    </row>
    <row r="24" spans="1:7" ht="15.75" customHeight="1" x14ac:dyDescent="0.25">
      <c r="A24" s="51">
        <v>18</v>
      </c>
      <c r="B24">
        <v>8</v>
      </c>
      <c r="C24">
        <v>7</v>
      </c>
      <c r="D24" s="57">
        <v>531.19000000000005</v>
      </c>
      <c r="E24" s="57">
        <v>483.06</v>
      </c>
      <c r="F24">
        <v>15</v>
      </c>
      <c r="G24" s="57">
        <v>1014.25</v>
      </c>
    </row>
    <row r="25" spans="1:7" ht="15.75" customHeight="1" x14ac:dyDescent="0.25">
      <c r="A25" s="51">
        <v>19</v>
      </c>
      <c r="B25">
        <v>3</v>
      </c>
      <c r="C25">
        <v>11</v>
      </c>
      <c r="D25" s="57">
        <v>169.84</v>
      </c>
      <c r="E25" s="57">
        <v>531.19000000000005</v>
      </c>
      <c r="F25">
        <v>14</v>
      </c>
      <c r="G25" s="57">
        <v>701.02999999999986</v>
      </c>
    </row>
    <row r="26" spans="1:7" ht="15.75" customHeight="1" x14ac:dyDescent="0.25">
      <c r="A26" s="51">
        <v>20</v>
      </c>
      <c r="B26">
        <v>6</v>
      </c>
      <c r="C26">
        <v>12</v>
      </c>
      <c r="D26" s="57">
        <v>368.79999999999995</v>
      </c>
      <c r="E26" s="57">
        <v>779.14999999999986</v>
      </c>
      <c r="F26">
        <v>18</v>
      </c>
      <c r="G26" s="57">
        <v>1147.9499999999998</v>
      </c>
    </row>
    <row r="27" spans="1:7" ht="15.75" customHeight="1" x14ac:dyDescent="0.25">
      <c r="A27" s="51">
        <v>21</v>
      </c>
      <c r="C27">
        <v>10</v>
      </c>
      <c r="D27" s="57"/>
      <c r="E27" s="57">
        <v>573.63</v>
      </c>
      <c r="F27">
        <v>10</v>
      </c>
      <c r="G27" s="57">
        <v>573.63</v>
      </c>
    </row>
    <row r="28" spans="1:7" ht="15.75" customHeight="1" x14ac:dyDescent="0.25">
      <c r="A28" s="51">
        <v>22</v>
      </c>
      <c r="B28">
        <v>5</v>
      </c>
      <c r="C28">
        <v>10</v>
      </c>
      <c r="D28" s="57">
        <v>291.37</v>
      </c>
      <c r="E28" s="57">
        <v>743.33</v>
      </c>
      <c r="F28">
        <v>15</v>
      </c>
      <c r="G28" s="57">
        <v>1034.7</v>
      </c>
    </row>
    <row r="29" spans="1:7" ht="15.75" customHeight="1" x14ac:dyDescent="0.25">
      <c r="A29" s="51">
        <v>23</v>
      </c>
      <c r="B29">
        <v>8</v>
      </c>
      <c r="C29">
        <v>7</v>
      </c>
      <c r="D29" s="57">
        <v>418.84000000000003</v>
      </c>
      <c r="E29" s="57">
        <v>415.29999999999995</v>
      </c>
      <c r="F29">
        <v>15</v>
      </c>
      <c r="G29" s="57">
        <v>834.1400000000001</v>
      </c>
    </row>
    <row r="30" spans="1:7" ht="15.75" customHeight="1" x14ac:dyDescent="0.25">
      <c r="A30" s="51">
        <v>24</v>
      </c>
      <c r="B30">
        <v>10</v>
      </c>
      <c r="C30">
        <v>14</v>
      </c>
      <c r="D30" s="57">
        <v>631.71</v>
      </c>
      <c r="E30" s="57">
        <v>878.62000000000012</v>
      </c>
      <c r="F30">
        <v>24</v>
      </c>
      <c r="G30" s="57">
        <v>1510.3300000000002</v>
      </c>
    </row>
    <row r="31" spans="1:7" ht="15.75" customHeight="1" x14ac:dyDescent="0.25">
      <c r="A31" s="51">
        <v>25</v>
      </c>
      <c r="B31">
        <v>5</v>
      </c>
      <c r="C31">
        <v>18</v>
      </c>
      <c r="D31" s="57">
        <v>368.73999999999995</v>
      </c>
      <c r="E31" s="57">
        <v>1028.4100000000001</v>
      </c>
      <c r="F31">
        <v>23</v>
      </c>
      <c r="G31" s="57">
        <v>1397.15</v>
      </c>
    </row>
    <row r="32" spans="1:7" ht="15.75" customHeight="1" x14ac:dyDescent="0.25">
      <c r="A32" s="51">
        <v>26</v>
      </c>
      <c r="B32">
        <v>10</v>
      </c>
      <c r="C32">
        <v>11</v>
      </c>
      <c r="D32" s="57">
        <v>619.50999999999988</v>
      </c>
      <c r="E32" s="57">
        <v>719.2399999999999</v>
      </c>
      <c r="F32">
        <v>21</v>
      </c>
      <c r="G32" s="57">
        <v>1338.75</v>
      </c>
    </row>
    <row r="33" spans="1:7" ht="15.75" customHeight="1" x14ac:dyDescent="0.25">
      <c r="A33" s="51">
        <v>27</v>
      </c>
      <c r="B33">
        <v>7</v>
      </c>
      <c r="C33">
        <v>10</v>
      </c>
      <c r="D33" s="57">
        <v>364.6</v>
      </c>
      <c r="E33" s="57">
        <v>570.93000000000006</v>
      </c>
      <c r="F33">
        <v>17</v>
      </c>
      <c r="G33" s="57">
        <v>935.53</v>
      </c>
    </row>
    <row r="34" spans="1:7" ht="15.75" customHeight="1" x14ac:dyDescent="0.25">
      <c r="A34" s="51">
        <v>28</v>
      </c>
      <c r="B34">
        <v>9</v>
      </c>
      <c r="C34">
        <v>8</v>
      </c>
      <c r="D34" s="57">
        <v>544.31999999999994</v>
      </c>
      <c r="E34" s="57">
        <v>481.02</v>
      </c>
      <c r="F34">
        <v>17</v>
      </c>
      <c r="G34" s="57">
        <v>1025.3399999999999</v>
      </c>
    </row>
    <row r="35" spans="1:7" ht="15.75" customHeight="1" x14ac:dyDescent="0.25">
      <c r="A35" s="51">
        <v>29</v>
      </c>
      <c r="B35">
        <v>5</v>
      </c>
      <c r="C35">
        <v>11</v>
      </c>
      <c r="D35" s="57">
        <v>256.72000000000003</v>
      </c>
      <c r="E35" s="57">
        <v>541.62</v>
      </c>
      <c r="F35">
        <v>16</v>
      </c>
      <c r="G35" s="57">
        <v>798.33999999999992</v>
      </c>
    </row>
    <row r="36" spans="1:7" ht="15.75" customHeight="1" x14ac:dyDescent="0.25">
      <c r="A36" s="51">
        <v>30</v>
      </c>
      <c r="B36">
        <v>8</v>
      </c>
      <c r="C36">
        <v>10</v>
      </c>
      <c r="D36" s="57">
        <v>481.39</v>
      </c>
      <c r="E36" s="57">
        <v>519.33000000000004</v>
      </c>
      <c r="F36">
        <v>18</v>
      </c>
      <c r="G36" s="57">
        <v>1000.7200000000003</v>
      </c>
    </row>
    <row r="37" spans="1:7" ht="15.75" customHeight="1" x14ac:dyDescent="0.25">
      <c r="A37" s="51">
        <v>31</v>
      </c>
      <c r="B37">
        <v>11</v>
      </c>
      <c r="C37">
        <v>8</v>
      </c>
      <c r="D37" s="57">
        <v>589.95999999999992</v>
      </c>
      <c r="E37" s="57">
        <v>525.25</v>
      </c>
      <c r="F37">
        <v>19</v>
      </c>
      <c r="G37" s="57">
        <v>1115.21</v>
      </c>
    </row>
    <row r="38" spans="1:7" ht="15.75" customHeight="1" x14ac:dyDescent="0.25">
      <c r="A38" s="51">
        <v>32</v>
      </c>
      <c r="C38">
        <v>11</v>
      </c>
      <c r="D38" s="57"/>
      <c r="E38" s="57">
        <v>742.91</v>
      </c>
      <c r="F38">
        <v>11</v>
      </c>
      <c r="G38" s="57">
        <v>742.91</v>
      </c>
    </row>
    <row r="39" spans="1:7" ht="15.75" customHeight="1" x14ac:dyDescent="0.25">
      <c r="A39" s="51">
        <v>33</v>
      </c>
      <c r="B39">
        <v>4</v>
      </c>
      <c r="C39">
        <v>4</v>
      </c>
      <c r="D39" s="57">
        <v>246.23</v>
      </c>
      <c r="E39" s="57">
        <v>304.17</v>
      </c>
      <c r="F39">
        <v>8</v>
      </c>
      <c r="G39" s="57">
        <v>550.4</v>
      </c>
    </row>
    <row r="40" spans="1:7" ht="15.75" customHeight="1" x14ac:dyDescent="0.25">
      <c r="A40" s="51">
        <v>34</v>
      </c>
      <c r="B40">
        <v>8</v>
      </c>
      <c r="C40">
        <v>6</v>
      </c>
      <c r="D40" s="57">
        <v>463.87</v>
      </c>
      <c r="E40" s="57">
        <v>299.14999999999998</v>
      </c>
      <c r="F40">
        <v>14</v>
      </c>
      <c r="G40" s="57">
        <v>763.02</v>
      </c>
    </row>
    <row r="41" spans="1:7" ht="15.75" customHeight="1" x14ac:dyDescent="0.25">
      <c r="A41" s="51">
        <v>35</v>
      </c>
      <c r="B41">
        <v>7</v>
      </c>
      <c r="C41">
        <v>9</v>
      </c>
      <c r="D41" s="57">
        <v>482.34000000000003</v>
      </c>
      <c r="E41" s="57">
        <v>639.66000000000008</v>
      </c>
      <c r="F41">
        <v>16</v>
      </c>
      <c r="G41" s="57">
        <v>1122</v>
      </c>
    </row>
    <row r="42" spans="1:7" ht="15.75" customHeight="1" x14ac:dyDescent="0.25">
      <c r="A42" s="51">
        <v>36</v>
      </c>
      <c r="B42">
        <v>8</v>
      </c>
      <c r="C42">
        <v>11</v>
      </c>
      <c r="D42" s="57">
        <v>505.64</v>
      </c>
      <c r="E42" s="57">
        <v>729.21</v>
      </c>
      <c r="F42">
        <v>19</v>
      </c>
      <c r="G42" s="57">
        <v>1234.8499999999999</v>
      </c>
    </row>
    <row r="43" spans="1:7" ht="15.75" customHeight="1" x14ac:dyDescent="0.25">
      <c r="A43" s="51">
        <v>37</v>
      </c>
      <c r="B43">
        <v>2</v>
      </c>
      <c r="C43">
        <v>6</v>
      </c>
      <c r="D43" s="57">
        <v>112.71000000000001</v>
      </c>
      <c r="E43" s="57">
        <v>338.86</v>
      </c>
      <c r="F43">
        <v>8</v>
      </c>
      <c r="G43" s="57">
        <v>451.56999999999994</v>
      </c>
    </row>
    <row r="44" spans="1:7" ht="15.75" customHeight="1" x14ac:dyDescent="0.25">
      <c r="A44" s="51">
        <v>38</v>
      </c>
      <c r="B44">
        <v>10</v>
      </c>
      <c r="C44">
        <v>9</v>
      </c>
      <c r="D44" s="57">
        <v>568.76</v>
      </c>
      <c r="E44" s="57">
        <v>526.25</v>
      </c>
      <c r="F44">
        <v>19</v>
      </c>
      <c r="G44" s="57">
        <v>1095.01</v>
      </c>
    </row>
    <row r="45" spans="1:7" ht="15.75" customHeight="1" x14ac:dyDescent="0.25">
      <c r="A45" s="51">
        <v>39</v>
      </c>
      <c r="B45">
        <v>4</v>
      </c>
      <c r="C45">
        <v>5</v>
      </c>
      <c r="D45" s="57">
        <v>231.14</v>
      </c>
      <c r="E45" s="57">
        <v>311.79000000000002</v>
      </c>
      <c r="F45">
        <v>9</v>
      </c>
      <c r="G45" s="57">
        <v>542.92999999999995</v>
      </c>
    </row>
    <row r="46" spans="1:7" ht="15.75" customHeight="1" x14ac:dyDescent="0.25">
      <c r="A46" s="51">
        <v>40</v>
      </c>
      <c r="B46">
        <v>2</v>
      </c>
      <c r="C46">
        <v>6</v>
      </c>
      <c r="D46" s="57">
        <v>88.13</v>
      </c>
      <c r="E46" s="57">
        <v>433.92</v>
      </c>
      <c r="F46">
        <v>8</v>
      </c>
      <c r="G46" s="57">
        <v>522.04999999999995</v>
      </c>
    </row>
    <row r="47" spans="1:7" ht="15.75" customHeight="1" x14ac:dyDescent="0.25">
      <c r="A47" s="51">
        <v>41</v>
      </c>
      <c r="B47">
        <v>4</v>
      </c>
      <c r="C47">
        <v>7</v>
      </c>
      <c r="D47" s="57">
        <v>237.23000000000002</v>
      </c>
      <c r="E47" s="57">
        <v>547.75</v>
      </c>
      <c r="F47">
        <v>11</v>
      </c>
      <c r="G47" s="57">
        <v>784.98000000000013</v>
      </c>
    </row>
    <row r="48" spans="1:7" ht="15.75" customHeight="1" x14ac:dyDescent="0.25">
      <c r="A48" s="51">
        <v>42</v>
      </c>
      <c r="B48">
        <v>3</v>
      </c>
      <c r="C48">
        <v>7</v>
      </c>
      <c r="D48" s="57">
        <v>211.31</v>
      </c>
      <c r="E48" s="57">
        <v>411.21000000000004</v>
      </c>
      <c r="F48">
        <v>10</v>
      </c>
      <c r="G48" s="57">
        <v>622.52</v>
      </c>
    </row>
    <row r="49" spans="1:7" ht="15.75" customHeight="1" x14ac:dyDescent="0.25">
      <c r="A49" s="51">
        <v>43</v>
      </c>
      <c r="B49">
        <v>5</v>
      </c>
      <c r="C49">
        <v>5</v>
      </c>
      <c r="D49" s="57">
        <v>259.49</v>
      </c>
      <c r="E49" s="57">
        <v>229.98</v>
      </c>
      <c r="F49">
        <v>10</v>
      </c>
      <c r="G49" s="57">
        <v>489.46999999999991</v>
      </c>
    </row>
    <row r="50" spans="1:7" ht="15.75" customHeight="1" x14ac:dyDescent="0.25">
      <c r="A50" s="51">
        <v>44</v>
      </c>
      <c r="B50">
        <v>2</v>
      </c>
      <c r="C50">
        <v>4</v>
      </c>
      <c r="D50" s="57">
        <v>173.57</v>
      </c>
      <c r="E50" s="57">
        <v>293.58</v>
      </c>
      <c r="F50">
        <v>6</v>
      </c>
      <c r="G50" s="57">
        <v>467.15000000000003</v>
      </c>
    </row>
    <row r="51" spans="1:7" ht="15.75" customHeight="1" x14ac:dyDescent="0.25">
      <c r="A51" s="51">
        <v>45</v>
      </c>
      <c r="B51">
        <v>2</v>
      </c>
      <c r="C51">
        <v>2</v>
      </c>
      <c r="D51" s="57">
        <v>118.16</v>
      </c>
      <c r="E51" s="57">
        <v>132.71</v>
      </c>
      <c r="F51">
        <v>4</v>
      </c>
      <c r="G51" s="57">
        <v>250.87</v>
      </c>
    </row>
    <row r="52" spans="1:7" ht="15.75" customHeight="1" x14ac:dyDescent="0.25">
      <c r="A52" s="51">
        <v>46</v>
      </c>
      <c r="B52">
        <v>2</v>
      </c>
      <c r="C52">
        <v>5</v>
      </c>
      <c r="D52" s="57">
        <v>142.07999999999998</v>
      </c>
      <c r="E52" s="57">
        <v>386.6</v>
      </c>
      <c r="F52">
        <v>7</v>
      </c>
      <c r="G52" s="57">
        <v>528.67999999999995</v>
      </c>
    </row>
    <row r="53" spans="1:7" ht="15.75" customHeight="1" x14ac:dyDescent="0.25">
      <c r="A53" s="51">
        <v>47</v>
      </c>
      <c r="B53">
        <v>5</v>
      </c>
      <c r="C53">
        <v>2</v>
      </c>
      <c r="D53" s="57">
        <v>284.71999999999997</v>
      </c>
      <c r="E53" s="57">
        <v>95</v>
      </c>
      <c r="F53">
        <v>7</v>
      </c>
      <c r="G53" s="57">
        <v>379.71999999999997</v>
      </c>
    </row>
    <row r="54" spans="1:7" ht="15.75" customHeight="1" x14ac:dyDescent="0.25">
      <c r="A54" s="51">
        <v>48</v>
      </c>
      <c r="B54">
        <v>2</v>
      </c>
      <c r="C54">
        <v>7</v>
      </c>
      <c r="D54" s="57">
        <v>142.58999999999997</v>
      </c>
      <c r="E54" s="57">
        <v>352.4</v>
      </c>
      <c r="F54">
        <v>9</v>
      </c>
      <c r="G54" s="57">
        <v>494.98999999999995</v>
      </c>
    </row>
    <row r="55" spans="1:7" ht="15.75" customHeight="1" x14ac:dyDescent="0.25">
      <c r="A55" s="51">
        <v>49</v>
      </c>
      <c r="B55">
        <v>1</v>
      </c>
      <c r="C55">
        <v>4</v>
      </c>
      <c r="D55" s="57">
        <v>59.39</v>
      </c>
      <c r="E55" s="57">
        <v>207.24</v>
      </c>
      <c r="F55">
        <v>5</v>
      </c>
      <c r="G55" s="57">
        <v>266.63</v>
      </c>
    </row>
    <row r="56" spans="1:7" ht="15.75" customHeight="1" x14ac:dyDescent="0.25">
      <c r="A56" s="51">
        <v>50</v>
      </c>
      <c r="C56">
        <v>5</v>
      </c>
      <c r="D56" s="57"/>
      <c r="E56" s="57">
        <v>254.43999999999997</v>
      </c>
      <c r="F56">
        <v>5</v>
      </c>
      <c r="G56" s="57">
        <v>254.43999999999997</v>
      </c>
    </row>
    <row r="57" spans="1:7" ht="15.75" customHeight="1" x14ac:dyDescent="0.25">
      <c r="A57" s="51">
        <v>51</v>
      </c>
      <c r="B57">
        <v>2</v>
      </c>
      <c r="C57">
        <v>6</v>
      </c>
      <c r="D57" s="57">
        <v>119.58000000000001</v>
      </c>
      <c r="E57" s="57">
        <v>392.12</v>
      </c>
      <c r="F57">
        <v>8</v>
      </c>
      <c r="G57" s="57">
        <v>511.70000000000005</v>
      </c>
    </row>
    <row r="58" spans="1:7" ht="15.75" customHeight="1" x14ac:dyDescent="0.25">
      <c r="A58" s="51">
        <v>52</v>
      </c>
      <c r="B58">
        <v>1</v>
      </c>
      <c r="C58">
        <v>3</v>
      </c>
      <c r="D58" s="57">
        <v>55.46</v>
      </c>
      <c r="E58" s="57">
        <v>112.91999999999999</v>
      </c>
      <c r="F58">
        <v>4</v>
      </c>
      <c r="G58" s="57">
        <v>168.38</v>
      </c>
    </row>
    <row r="59" spans="1:7" ht="15.75" customHeight="1" x14ac:dyDescent="0.25">
      <c r="A59" s="51">
        <v>53</v>
      </c>
      <c r="B59">
        <v>1</v>
      </c>
      <c r="C59">
        <v>1</v>
      </c>
      <c r="D59" s="57">
        <v>70.61</v>
      </c>
      <c r="E59" s="57">
        <v>99.96</v>
      </c>
      <c r="F59">
        <v>2</v>
      </c>
      <c r="G59" s="57">
        <v>170.57</v>
      </c>
    </row>
    <row r="60" spans="1:7" ht="15.75" customHeight="1" x14ac:dyDescent="0.25">
      <c r="A60" s="51">
        <v>54</v>
      </c>
      <c r="B60">
        <v>2</v>
      </c>
      <c r="C60">
        <v>1</v>
      </c>
      <c r="D60" s="57">
        <v>85.91</v>
      </c>
      <c r="E60" s="57">
        <v>67.069999999999993</v>
      </c>
      <c r="F60">
        <v>3</v>
      </c>
      <c r="G60" s="57">
        <v>152.97999999999999</v>
      </c>
    </row>
    <row r="61" spans="1:7" ht="15.75" customHeight="1" x14ac:dyDescent="0.25">
      <c r="A61" s="51">
        <v>55</v>
      </c>
      <c r="C61">
        <v>1</v>
      </c>
      <c r="D61" s="57"/>
      <c r="E61" s="57">
        <v>72.78</v>
      </c>
      <c r="F61">
        <v>1</v>
      </c>
      <c r="G61" s="57">
        <v>72.78</v>
      </c>
    </row>
    <row r="62" spans="1:7" ht="15.75" customHeight="1" x14ac:dyDescent="0.25">
      <c r="A62" s="51">
        <v>56</v>
      </c>
      <c r="C62">
        <v>1</v>
      </c>
      <c r="D62" s="57"/>
      <c r="E62" s="57">
        <v>67.02</v>
      </c>
      <c r="F62">
        <v>1</v>
      </c>
      <c r="G62" s="57">
        <v>67.02</v>
      </c>
    </row>
    <row r="63" spans="1:7" ht="15.75" customHeight="1" x14ac:dyDescent="0.25">
      <c r="A63" s="51">
        <v>57</v>
      </c>
      <c r="C63">
        <v>4</v>
      </c>
      <c r="D63" s="57"/>
      <c r="E63" s="57">
        <v>196.31</v>
      </c>
      <c r="F63">
        <v>4</v>
      </c>
      <c r="G63" s="57">
        <v>196.31</v>
      </c>
    </row>
    <row r="64" spans="1:7" ht="15.75" customHeight="1" x14ac:dyDescent="0.25">
      <c r="A64" s="51">
        <v>58</v>
      </c>
      <c r="B64">
        <v>1</v>
      </c>
      <c r="C64"/>
      <c r="D64" s="57">
        <v>53.2</v>
      </c>
      <c r="E64" s="57"/>
      <c r="F64">
        <v>1</v>
      </c>
      <c r="G64" s="57">
        <v>53.2</v>
      </c>
    </row>
    <row r="65" spans="1:7" ht="15.75" customHeight="1" x14ac:dyDescent="0.25">
      <c r="A65" s="51">
        <v>59</v>
      </c>
      <c r="B65">
        <v>1</v>
      </c>
      <c r="C65"/>
      <c r="D65" s="57">
        <v>42.33</v>
      </c>
      <c r="E65" s="57"/>
      <c r="F65">
        <v>1</v>
      </c>
      <c r="G65" s="57">
        <v>42.33</v>
      </c>
    </row>
    <row r="66" spans="1:7" ht="15.75" customHeight="1" x14ac:dyDescent="0.25">
      <c r="A66" s="51">
        <v>60</v>
      </c>
      <c r="B66">
        <v>1</v>
      </c>
      <c r="C66"/>
      <c r="D66" s="57">
        <v>46.24</v>
      </c>
      <c r="E66" s="57"/>
      <c r="F66">
        <v>1</v>
      </c>
      <c r="G66" s="57">
        <v>46.24</v>
      </c>
    </row>
    <row r="67" spans="1:7" ht="15.75" customHeight="1" x14ac:dyDescent="0.25">
      <c r="A67" s="51">
        <v>62</v>
      </c>
      <c r="B67">
        <v>1</v>
      </c>
      <c r="C67"/>
      <c r="D67" s="57">
        <v>77.400000000000006</v>
      </c>
      <c r="E67" s="57"/>
      <c r="F67">
        <v>1</v>
      </c>
      <c r="G67" s="57">
        <v>77.400000000000006</v>
      </c>
    </row>
    <row r="68" spans="1:7" ht="15.75" customHeight="1" x14ac:dyDescent="0.25">
      <c r="A68" s="51">
        <v>63</v>
      </c>
      <c r="B68">
        <v>1</v>
      </c>
      <c r="C68"/>
      <c r="D68" s="57">
        <v>39.17</v>
      </c>
      <c r="E68" s="57"/>
      <c r="F68">
        <v>1</v>
      </c>
      <c r="G68" s="57">
        <v>39.17</v>
      </c>
    </row>
    <row r="69" spans="1:7" ht="15.75" customHeight="1" x14ac:dyDescent="0.25">
      <c r="A69" s="51">
        <v>64</v>
      </c>
      <c r="C69">
        <v>1</v>
      </c>
      <c r="D69" s="57"/>
      <c r="E69" s="57">
        <v>89.18</v>
      </c>
      <c r="F69">
        <v>1</v>
      </c>
      <c r="G69" s="57">
        <v>89.18</v>
      </c>
    </row>
    <row r="70" spans="1:7" ht="15.75" customHeight="1" x14ac:dyDescent="0.25">
      <c r="A70" s="51">
        <v>67</v>
      </c>
      <c r="B70">
        <v>2</v>
      </c>
      <c r="C70"/>
      <c r="D70" s="57">
        <v>108.39</v>
      </c>
      <c r="E70" s="57"/>
      <c r="F70">
        <v>2</v>
      </c>
      <c r="G70" s="57">
        <v>108.39</v>
      </c>
    </row>
    <row r="71" spans="1:7" ht="15.75" customHeight="1" x14ac:dyDescent="0.25">
      <c r="A71" s="51">
        <v>68</v>
      </c>
      <c r="C71">
        <v>1</v>
      </c>
      <c r="D71" s="57"/>
      <c r="E71" s="57">
        <v>23.31</v>
      </c>
      <c r="F71">
        <v>1</v>
      </c>
      <c r="G71" s="57">
        <v>23.31</v>
      </c>
    </row>
    <row r="72" spans="1:7" ht="15.75" customHeight="1" x14ac:dyDescent="0.25">
      <c r="A72" s="51">
        <v>74</v>
      </c>
      <c r="C72">
        <v>1</v>
      </c>
      <c r="D72" s="57"/>
      <c r="E72" s="57">
        <v>55.63</v>
      </c>
      <c r="F72">
        <v>1</v>
      </c>
      <c r="G72" s="57">
        <v>55.63</v>
      </c>
    </row>
    <row r="73" spans="1:7" ht="15.75" customHeight="1" x14ac:dyDescent="0.25">
      <c r="A73" s="51" t="s">
        <v>34</v>
      </c>
      <c r="B73">
        <v>247</v>
      </c>
      <c r="C73">
        <v>413</v>
      </c>
      <c r="D73" s="57">
        <v>14763.899999999992</v>
      </c>
      <c r="E73" s="57">
        <v>24898.819999999996</v>
      </c>
      <c r="F73">
        <v>660</v>
      </c>
      <c r="G73" s="57">
        <v>39662.719999999994</v>
      </c>
    </row>
    <row r="74" spans="1:7" ht="15.75" customHeight="1" x14ac:dyDescent="0.25">
      <c r="C74"/>
    </row>
    <row r="75" spans="1:7" ht="15.75" customHeight="1" x14ac:dyDescent="0.25">
      <c r="C75"/>
    </row>
    <row r="76" spans="1:7" ht="15.75" customHeight="1" x14ac:dyDescent="0.25">
      <c r="C76"/>
    </row>
    <row r="77" spans="1:7" ht="15.75" customHeight="1" x14ac:dyDescent="0.25">
      <c r="C77"/>
    </row>
    <row r="78" spans="1:7" ht="15.75" customHeight="1" x14ac:dyDescent="0.25">
      <c r="C78"/>
    </row>
    <row r="79" spans="1:7" ht="15.75" customHeight="1" x14ac:dyDescent="0.25">
      <c r="C79"/>
    </row>
    <row r="80" spans="1:7" ht="15.75" customHeight="1" x14ac:dyDescent="0.25">
      <c r="C80"/>
    </row>
    <row r="81" spans="3:3" ht="15.75" customHeight="1" x14ac:dyDescent="0.25">
      <c r="C81"/>
    </row>
    <row r="82" spans="3:3" ht="15.75" customHeight="1" x14ac:dyDescent="0.25">
      <c r="C82"/>
    </row>
    <row r="83" spans="3:3" ht="15.75" customHeight="1" x14ac:dyDescent="0.25">
      <c r="C83"/>
    </row>
    <row r="84" spans="3:3" ht="15.75" customHeight="1" x14ac:dyDescent="0.25">
      <c r="C84"/>
    </row>
    <row r="85" spans="3:3" ht="15.75" customHeight="1" x14ac:dyDescent="0.25">
      <c r="C85"/>
    </row>
    <row r="86" spans="3:3" ht="15.75" customHeight="1" x14ac:dyDescent="0.25">
      <c r="C86"/>
    </row>
    <row r="87" spans="3:3" ht="15.75" customHeight="1" x14ac:dyDescent="0.25">
      <c r="C87"/>
    </row>
    <row r="88" spans="3:3" ht="15.75" customHeight="1" x14ac:dyDescent="0.25">
      <c r="C88"/>
    </row>
    <row r="89" spans="3:3" ht="15.75" customHeight="1" x14ac:dyDescent="0.25">
      <c r="C89"/>
    </row>
    <row r="90" spans="3:3" ht="15.75" customHeight="1" x14ac:dyDescent="0.25">
      <c r="C90"/>
    </row>
    <row r="91" spans="3:3" ht="15.75" customHeight="1" x14ac:dyDescent="0.25">
      <c r="C91"/>
    </row>
    <row r="92" spans="3:3" ht="15.75" customHeight="1" x14ac:dyDescent="0.25">
      <c r="C92"/>
    </row>
    <row r="93" spans="3:3" ht="15.75" customHeight="1" x14ac:dyDescent="0.25">
      <c r="C93"/>
    </row>
    <row r="94" spans="3:3" ht="15.75" customHeight="1" x14ac:dyDescent="0.25">
      <c r="C94"/>
    </row>
    <row r="95" spans="3:3" ht="15.75" customHeight="1" x14ac:dyDescent="0.25">
      <c r="C95"/>
    </row>
    <row r="96" spans="3:3" ht="15.75" customHeight="1" x14ac:dyDescent="0.25">
      <c r="C96"/>
    </row>
    <row r="97" spans="3:3" ht="15.75" customHeight="1" x14ac:dyDescent="0.25">
      <c r="C97"/>
    </row>
    <row r="98" spans="3:3" ht="15.75" customHeight="1" x14ac:dyDescent="0.25">
      <c r="C98"/>
    </row>
    <row r="99" spans="3:3" ht="15.75" customHeight="1" x14ac:dyDescent="0.25">
      <c r="C99"/>
    </row>
    <row r="100" spans="3:3" ht="15.75" customHeight="1" x14ac:dyDescent="0.25">
      <c r="C100"/>
    </row>
    <row r="101" spans="3:3" ht="15.75" customHeight="1" x14ac:dyDescent="0.25">
      <c r="C101"/>
    </row>
    <row r="102" spans="3:3" ht="15.75" customHeight="1" x14ac:dyDescent="0.25">
      <c r="C102"/>
    </row>
    <row r="103" spans="3:3" ht="15.75" customHeight="1" x14ac:dyDescent="0.25">
      <c r="C103"/>
    </row>
    <row r="104" spans="3:3" ht="15.75" customHeight="1" x14ac:dyDescent="0.25">
      <c r="C104"/>
    </row>
    <row r="105" spans="3:3" ht="15.75" customHeight="1" x14ac:dyDescent="0.25">
      <c r="C105"/>
    </row>
    <row r="106" spans="3:3" ht="15.75" customHeight="1" x14ac:dyDescent="0.25">
      <c r="C106"/>
    </row>
    <row r="107" spans="3:3" ht="15.75" customHeight="1" x14ac:dyDescent="0.25">
      <c r="C107"/>
    </row>
    <row r="108" spans="3:3" ht="15.75" customHeight="1" x14ac:dyDescent="0.25">
      <c r="C108"/>
    </row>
    <row r="109" spans="3:3" ht="15.75" customHeight="1" x14ac:dyDescent="0.25">
      <c r="C109"/>
    </row>
    <row r="110" spans="3:3" ht="15.75" customHeight="1" x14ac:dyDescent="0.25">
      <c r="C110"/>
    </row>
    <row r="111" spans="3:3" ht="15.75" customHeight="1" x14ac:dyDescent="0.25">
      <c r="C111"/>
    </row>
    <row r="112" spans="3:3" ht="15.75" customHeight="1" x14ac:dyDescent="0.25">
      <c r="C112"/>
    </row>
    <row r="113" spans="3:7" ht="15.75" customHeight="1" x14ac:dyDescent="0.25">
      <c r="C113"/>
    </row>
    <row r="114" spans="3:7" ht="15.75" customHeight="1" x14ac:dyDescent="0.25">
      <c r="C114"/>
    </row>
    <row r="115" spans="3:7" ht="15.75" customHeight="1" x14ac:dyDescent="0.25">
      <c r="C115"/>
    </row>
    <row r="116" spans="3:7" ht="15.75" customHeight="1" x14ac:dyDescent="0.25">
      <c r="C116"/>
    </row>
    <row r="117" spans="3:7" ht="15.75" customHeight="1" x14ac:dyDescent="0.25">
      <c r="C117"/>
    </row>
    <row r="118" spans="3:7" ht="15.75" customHeight="1" x14ac:dyDescent="0.25">
      <c r="C118"/>
    </row>
    <row r="119" spans="3:7" ht="15.75" customHeight="1" x14ac:dyDescent="0.25">
      <c r="C119"/>
    </row>
    <row r="120" spans="3:7" ht="15.75" customHeight="1" x14ac:dyDescent="0.25">
      <c r="C120"/>
    </row>
    <row r="121" spans="3:7" ht="15.75" customHeight="1" x14ac:dyDescent="0.25">
      <c r="C121"/>
    </row>
    <row r="122" spans="3:7" ht="15.75" customHeight="1" x14ac:dyDescent="0.25">
      <c r="C122"/>
    </row>
    <row r="123" spans="3:7" ht="15.75" customHeight="1" x14ac:dyDescent="0.25">
      <c r="C123"/>
    </row>
    <row r="124" spans="3:7" ht="15.75" customHeight="1" x14ac:dyDescent="0.25">
      <c r="C124"/>
    </row>
    <row r="125" spans="3:7" ht="15.75" customHeight="1" x14ac:dyDescent="0.25">
      <c r="C125"/>
    </row>
    <row r="126" spans="3:7" ht="15.75" customHeight="1" x14ac:dyDescent="0.25">
      <c r="C126"/>
      <c r="E126" s="13"/>
      <c r="F126" s="13"/>
      <c r="G126" s="13"/>
    </row>
    <row r="127" spans="3:7" ht="15.75" customHeight="1" x14ac:dyDescent="0.25">
      <c r="C127"/>
      <c r="E127" s="13"/>
      <c r="F127" s="13"/>
      <c r="G127" s="13"/>
    </row>
    <row r="128" spans="3:7" ht="15.75" customHeight="1" x14ac:dyDescent="0.25">
      <c r="C128"/>
      <c r="E128" s="13"/>
      <c r="F128" s="13"/>
      <c r="G128" s="13"/>
    </row>
    <row r="129" spans="3:7" ht="15.75" customHeight="1" x14ac:dyDescent="0.25">
      <c r="C129"/>
      <c r="E129" s="13"/>
      <c r="F129" s="13"/>
      <c r="G129" s="13"/>
    </row>
    <row r="130" spans="3:7" ht="15.75" customHeight="1" x14ac:dyDescent="0.25">
      <c r="C130"/>
      <c r="E130" s="13"/>
      <c r="F130" s="13"/>
      <c r="G130" s="13"/>
    </row>
    <row r="131" spans="3:7" ht="15.75" customHeight="1" x14ac:dyDescent="0.25">
      <c r="C131"/>
      <c r="E131" s="13"/>
      <c r="F131" s="13"/>
      <c r="G131" s="13"/>
    </row>
    <row r="132" spans="3:7" ht="15.75" customHeight="1" x14ac:dyDescent="0.25">
      <c r="C132"/>
      <c r="E132" s="13"/>
      <c r="F132" s="13"/>
      <c r="G132" s="13"/>
    </row>
    <row r="133" spans="3:7" ht="15.75" customHeight="1" x14ac:dyDescent="0.25">
      <c r="C133"/>
      <c r="E133" s="13"/>
      <c r="F133" s="13"/>
      <c r="G133" s="13"/>
    </row>
    <row r="134" spans="3:7" ht="15.75" customHeight="1" x14ac:dyDescent="0.25">
      <c r="C134"/>
      <c r="E134" s="13"/>
      <c r="F134" s="13"/>
      <c r="G134" s="13"/>
    </row>
    <row r="135" spans="3:7" ht="15.75" customHeight="1" x14ac:dyDescent="0.25">
      <c r="C135"/>
      <c r="E135" s="13"/>
      <c r="F135" s="13"/>
      <c r="G135" s="13"/>
    </row>
    <row r="136" spans="3:7" ht="15.75" customHeight="1" x14ac:dyDescent="0.25">
      <c r="C136"/>
      <c r="E136" s="13"/>
      <c r="F136" s="13"/>
      <c r="G136" s="13"/>
    </row>
    <row r="137" spans="3:7" ht="15.75" customHeight="1" x14ac:dyDescent="0.25">
      <c r="C137"/>
      <c r="E137" s="13"/>
      <c r="F137" s="13"/>
      <c r="G137" s="13"/>
    </row>
    <row r="138" spans="3:7" ht="15.75" customHeight="1" x14ac:dyDescent="0.25">
      <c r="C138"/>
      <c r="E138" s="13"/>
      <c r="F138" s="13"/>
      <c r="G138" s="13"/>
    </row>
    <row r="139" spans="3:7" ht="15.75" customHeight="1" x14ac:dyDescent="0.25">
      <c r="C139"/>
      <c r="E139" s="13"/>
      <c r="F139" s="13"/>
      <c r="G139" s="13"/>
    </row>
    <row r="140" spans="3:7" ht="15.75" customHeight="1" x14ac:dyDescent="0.25">
      <c r="C140"/>
      <c r="E140" s="13"/>
      <c r="F140" s="13"/>
      <c r="G140" s="13"/>
    </row>
    <row r="141" spans="3:7" ht="15.75" customHeight="1" x14ac:dyDescent="0.25">
      <c r="C141"/>
      <c r="E141" s="13"/>
      <c r="F141" s="13"/>
      <c r="G141" s="13"/>
    </row>
    <row r="142" spans="3:7" ht="15.75" customHeight="1" x14ac:dyDescent="0.25">
      <c r="C142"/>
      <c r="E142" s="13"/>
      <c r="F142" s="13"/>
      <c r="G142" s="13"/>
    </row>
    <row r="143" spans="3:7" ht="15.75" customHeight="1" x14ac:dyDescent="0.25">
      <c r="C143"/>
      <c r="E143" s="13"/>
      <c r="F143" s="13"/>
      <c r="G143" s="13"/>
    </row>
    <row r="144" spans="3:7" ht="15.75" customHeight="1" x14ac:dyDescent="0.25">
      <c r="C144"/>
      <c r="E144" s="13"/>
      <c r="F144" s="13"/>
      <c r="G144" s="13"/>
    </row>
    <row r="145" spans="3:7" ht="15.75" customHeight="1" x14ac:dyDescent="0.25">
      <c r="C145"/>
      <c r="E145" s="13"/>
      <c r="F145" s="13"/>
      <c r="G145" s="13"/>
    </row>
    <row r="146" spans="3:7" ht="15.75" customHeight="1" x14ac:dyDescent="0.25">
      <c r="C146"/>
      <c r="E146" s="13"/>
      <c r="F146" s="13"/>
      <c r="G146" s="13"/>
    </row>
    <row r="147" spans="3:7" ht="15.75" customHeight="1" x14ac:dyDescent="0.25">
      <c r="C147"/>
      <c r="E147" s="13"/>
      <c r="F147" s="13"/>
      <c r="G147" s="13"/>
    </row>
    <row r="148" spans="3:7" ht="15.75" customHeight="1" x14ac:dyDescent="0.25">
      <c r="C148"/>
      <c r="E148" s="13"/>
      <c r="F148" s="13"/>
      <c r="G148" s="13"/>
    </row>
    <row r="149" spans="3:7" ht="15.75" customHeight="1" x14ac:dyDescent="0.25">
      <c r="C149"/>
      <c r="E149" s="13"/>
      <c r="F149" s="13"/>
      <c r="G149" s="13"/>
    </row>
    <row r="150" spans="3:7" ht="15.75" customHeight="1" x14ac:dyDescent="0.25">
      <c r="C150"/>
      <c r="E150" s="13"/>
      <c r="F150" s="13"/>
      <c r="G150" s="13"/>
    </row>
    <row r="151" spans="3:7" ht="15.75" customHeight="1" x14ac:dyDescent="0.25">
      <c r="C151"/>
      <c r="E151" s="13"/>
      <c r="F151" s="13"/>
      <c r="G151" s="13"/>
    </row>
    <row r="152" spans="3:7" ht="15.75" customHeight="1" x14ac:dyDescent="0.25">
      <c r="C152"/>
      <c r="E152" s="13"/>
      <c r="F152" s="13"/>
      <c r="G152" s="13"/>
    </row>
    <row r="153" spans="3:7" ht="15.75" customHeight="1" x14ac:dyDescent="0.25">
      <c r="C153"/>
      <c r="E153" s="13"/>
      <c r="F153" s="13"/>
      <c r="G153" s="13"/>
    </row>
    <row r="154" spans="3:7" ht="15.75" customHeight="1" x14ac:dyDescent="0.25">
      <c r="C154"/>
      <c r="E154" s="13"/>
      <c r="F154" s="13"/>
      <c r="G154" s="13"/>
    </row>
    <row r="155" spans="3:7" ht="15.75" customHeight="1" x14ac:dyDescent="0.25">
      <c r="C155"/>
      <c r="E155" s="13"/>
      <c r="F155" s="13"/>
      <c r="G155" s="13"/>
    </row>
    <row r="156" spans="3:7" ht="15.75" customHeight="1" x14ac:dyDescent="0.25">
      <c r="C156"/>
      <c r="E156" s="13"/>
      <c r="F156" s="13"/>
      <c r="G156" s="13"/>
    </row>
    <row r="157" spans="3:7" ht="15.75" customHeight="1" x14ac:dyDescent="0.25">
      <c r="C157"/>
      <c r="E157" s="13"/>
      <c r="F157" s="13"/>
      <c r="G157" s="13"/>
    </row>
    <row r="158" spans="3:7" ht="15.75" customHeight="1" x14ac:dyDescent="0.25">
      <c r="C158"/>
      <c r="E158" s="13"/>
      <c r="F158" s="13"/>
      <c r="G158" s="13"/>
    </row>
    <row r="159" spans="3:7" ht="15.75" customHeight="1" x14ac:dyDescent="0.25">
      <c r="C159"/>
      <c r="E159" s="13"/>
      <c r="F159" s="13"/>
      <c r="G159" s="13"/>
    </row>
    <row r="160" spans="3:7" ht="15.75" customHeight="1" x14ac:dyDescent="0.25">
      <c r="C160"/>
      <c r="E160" s="13"/>
      <c r="F160" s="13"/>
      <c r="G160" s="13"/>
    </row>
    <row r="161" spans="3:7" ht="15.75" customHeight="1" x14ac:dyDescent="0.25">
      <c r="C161"/>
      <c r="E161" s="13"/>
      <c r="F161" s="13"/>
      <c r="G161" s="13"/>
    </row>
    <row r="162" spans="3:7" ht="15.75" customHeight="1" x14ac:dyDescent="0.25">
      <c r="C162"/>
      <c r="E162" s="13"/>
      <c r="F162" s="13"/>
      <c r="G162" s="13"/>
    </row>
    <row r="163" spans="3:7" ht="15.75" customHeight="1" x14ac:dyDescent="0.25">
      <c r="C163"/>
      <c r="E163" s="13"/>
      <c r="F163" s="13"/>
      <c r="G163" s="13"/>
    </row>
    <row r="164" spans="3:7" ht="15.75" customHeight="1" x14ac:dyDescent="0.25">
      <c r="C164"/>
      <c r="E164" s="13"/>
      <c r="F164" s="13"/>
      <c r="G164" s="13"/>
    </row>
    <row r="165" spans="3:7" ht="15.75" customHeight="1" x14ac:dyDescent="0.25">
      <c r="C165"/>
      <c r="E165" s="13"/>
      <c r="F165" s="13"/>
      <c r="G165" s="13"/>
    </row>
    <row r="166" spans="3:7" ht="15.75" customHeight="1" x14ac:dyDescent="0.25">
      <c r="C166"/>
      <c r="E166" s="13"/>
      <c r="F166" s="13"/>
      <c r="G166" s="13"/>
    </row>
    <row r="167" spans="3:7" ht="15.75" customHeight="1" x14ac:dyDescent="0.25">
      <c r="C167"/>
      <c r="E167" s="13"/>
      <c r="F167" s="13"/>
      <c r="G167" s="13"/>
    </row>
    <row r="168" spans="3:7" ht="15.75" customHeight="1" x14ac:dyDescent="0.25">
      <c r="C168"/>
      <c r="E168" s="13"/>
      <c r="F168" s="13"/>
      <c r="G168" s="13"/>
    </row>
    <row r="169" spans="3:7" ht="15.75" customHeight="1" x14ac:dyDescent="0.25">
      <c r="C169"/>
      <c r="E169" s="13"/>
      <c r="F169" s="13"/>
      <c r="G169" s="13"/>
    </row>
    <row r="170" spans="3:7" ht="15.75" customHeight="1" x14ac:dyDescent="0.25">
      <c r="C170"/>
      <c r="E170" s="13"/>
      <c r="F170" s="13"/>
      <c r="G170" s="13"/>
    </row>
    <row r="171" spans="3:7" ht="15.75" customHeight="1" x14ac:dyDescent="0.25">
      <c r="C171"/>
      <c r="E171" s="13"/>
      <c r="F171" s="13"/>
      <c r="G171" s="13"/>
    </row>
    <row r="172" spans="3:7" ht="15.75" customHeight="1" x14ac:dyDescent="0.25">
      <c r="C172"/>
      <c r="E172" s="13"/>
      <c r="F172" s="13"/>
      <c r="G172" s="13"/>
    </row>
    <row r="173" spans="3:7" ht="15.75" customHeight="1" x14ac:dyDescent="0.25">
      <c r="C173"/>
      <c r="E173" s="13"/>
      <c r="F173" s="13"/>
      <c r="G173" s="13"/>
    </row>
    <row r="174" spans="3:7" ht="15.75" customHeight="1" x14ac:dyDescent="0.25">
      <c r="C174"/>
      <c r="E174" s="13"/>
      <c r="F174" s="13"/>
      <c r="G174" s="13"/>
    </row>
    <row r="175" spans="3:7" ht="15.75" customHeight="1" x14ac:dyDescent="0.25">
      <c r="C175"/>
      <c r="E175" s="13"/>
      <c r="F175" s="13"/>
      <c r="G175" s="13"/>
    </row>
    <row r="176" spans="3:7" ht="15.75" customHeight="1" x14ac:dyDescent="0.25">
      <c r="C176"/>
      <c r="E176" s="13"/>
      <c r="F176" s="13"/>
      <c r="G176" s="13"/>
    </row>
    <row r="177" spans="3:7" ht="15.75" customHeight="1" x14ac:dyDescent="0.25">
      <c r="C177"/>
      <c r="E177" s="13"/>
      <c r="F177" s="13"/>
      <c r="G177" s="13"/>
    </row>
    <row r="178" spans="3:7" ht="15.75" customHeight="1" x14ac:dyDescent="0.25">
      <c r="C178"/>
      <c r="E178" s="13"/>
      <c r="F178" s="13"/>
      <c r="G178" s="13"/>
    </row>
    <row r="179" spans="3:7" ht="15.75" customHeight="1" x14ac:dyDescent="0.25">
      <c r="C179"/>
      <c r="E179" s="13"/>
      <c r="F179" s="13"/>
      <c r="G179" s="13"/>
    </row>
    <row r="180" spans="3:7" ht="15.75" customHeight="1" x14ac:dyDescent="0.25">
      <c r="C180"/>
      <c r="E180" s="13"/>
      <c r="F180" s="13"/>
      <c r="G180" s="13"/>
    </row>
    <row r="181" spans="3:7" ht="15.75" customHeight="1" x14ac:dyDescent="0.25">
      <c r="C181"/>
      <c r="E181" s="13"/>
      <c r="F181" s="13"/>
      <c r="G181" s="13"/>
    </row>
    <row r="182" spans="3:7" ht="15.75" customHeight="1" x14ac:dyDescent="0.25">
      <c r="C182"/>
      <c r="E182" s="13"/>
      <c r="F182" s="13"/>
      <c r="G182" s="13"/>
    </row>
    <row r="183" spans="3:7" ht="15.75" customHeight="1" x14ac:dyDescent="0.25">
      <c r="C183"/>
      <c r="E183" s="13"/>
      <c r="F183" s="13"/>
      <c r="G183" s="13"/>
    </row>
    <row r="184" spans="3:7" ht="15.75" customHeight="1" x14ac:dyDescent="0.25">
      <c r="C184"/>
      <c r="E184" s="13"/>
      <c r="F184" s="13"/>
      <c r="G184" s="13"/>
    </row>
    <row r="185" spans="3:7" ht="15.75" customHeight="1" x14ac:dyDescent="0.25">
      <c r="C185"/>
      <c r="E185" s="13"/>
      <c r="F185" s="13"/>
      <c r="G185" s="13"/>
    </row>
    <row r="186" spans="3:7" ht="15.75" customHeight="1" x14ac:dyDescent="0.25">
      <c r="C186"/>
      <c r="E186" s="13"/>
      <c r="F186" s="13"/>
      <c r="G186" s="13"/>
    </row>
    <row r="187" spans="3:7" ht="15.75" customHeight="1" x14ac:dyDescent="0.25">
      <c r="C187"/>
      <c r="E187" s="13"/>
      <c r="F187" s="13"/>
      <c r="G187" s="13"/>
    </row>
    <row r="188" spans="3:7" ht="15.75" customHeight="1" x14ac:dyDescent="0.25">
      <c r="C188"/>
      <c r="E188" s="13"/>
      <c r="F188" s="13"/>
      <c r="G188" s="13"/>
    </row>
    <row r="189" spans="3:7" ht="15.75" customHeight="1" x14ac:dyDescent="0.25">
      <c r="C189"/>
      <c r="E189" s="13"/>
      <c r="F189" s="13"/>
      <c r="G189" s="13"/>
    </row>
    <row r="190" spans="3:7" ht="15.75" customHeight="1" x14ac:dyDescent="0.25">
      <c r="C190"/>
      <c r="E190" s="13"/>
      <c r="F190" s="13"/>
      <c r="G190" s="13"/>
    </row>
    <row r="191" spans="3:7" ht="15.75" customHeight="1" x14ac:dyDescent="0.25">
      <c r="C191"/>
      <c r="E191" s="13"/>
      <c r="F191" s="13"/>
      <c r="G191" s="13"/>
    </row>
    <row r="192" spans="3:7" ht="15.75" customHeight="1" x14ac:dyDescent="0.25">
      <c r="C192"/>
      <c r="E192" s="13"/>
      <c r="F192" s="13"/>
      <c r="G192" s="13"/>
    </row>
    <row r="193" spans="3:7" ht="15.75" customHeight="1" x14ac:dyDescent="0.25">
      <c r="C193"/>
      <c r="E193" s="13"/>
      <c r="F193" s="13"/>
      <c r="G193" s="13"/>
    </row>
    <row r="194" spans="3:7" ht="15.75" customHeight="1" x14ac:dyDescent="0.25">
      <c r="C194"/>
      <c r="E194" s="13"/>
      <c r="F194" s="13"/>
      <c r="G194" s="13"/>
    </row>
    <row r="195" spans="3:7" ht="15.75" customHeight="1" x14ac:dyDescent="0.25">
      <c r="C195"/>
      <c r="E195" s="13"/>
      <c r="F195" s="13"/>
      <c r="G195" s="13"/>
    </row>
    <row r="196" spans="3:7" ht="15.75" customHeight="1" x14ac:dyDescent="0.25">
      <c r="C196"/>
      <c r="E196" s="13"/>
      <c r="F196" s="13"/>
      <c r="G196" s="13"/>
    </row>
    <row r="197" spans="3:7" ht="15.75" customHeight="1" x14ac:dyDescent="0.25">
      <c r="C197"/>
      <c r="E197" s="13"/>
      <c r="F197" s="13"/>
      <c r="G197" s="13"/>
    </row>
    <row r="198" spans="3:7" ht="15.75" customHeight="1" x14ac:dyDescent="0.25">
      <c r="C198"/>
      <c r="E198" s="13"/>
      <c r="F198" s="13"/>
      <c r="G198" s="13"/>
    </row>
    <row r="199" spans="3:7" ht="15.75" customHeight="1" x14ac:dyDescent="0.25">
      <c r="C199"/>
      <c r="E199" s="13"/>
      <c r="F199" s="13"/>
      <c r="G199" s="13"/>
    </row>
    <row r="200" spans="3:7" ht="15.75" customHeight="1" x14ac:dyDescent="0.25">
      <c r="C200"/>
      <c r="E200" s="13"/>
      <c r="F200" s="13"/>
      <c r="G200" s="13"/>
    </row>
    <row r="201" spans="3:7" ht="15.75" customHeight="1" x14ac:dyDescent="0.25">
      <c r="C201"/>
      <c r="E201" s="13"/>
      <c r="F201" s="13"/>
      <c r="G201" s="13"/>
    </row>
    <row r="202" spans="3:7" ht="15.75" customHeight="1" x14ac:dyDescent="0.25">
      <c r="C202"/>
      <c r="E202" s="13"/>
      <c r="F202" s="13"/>
      <c r="G202" s="13"/>
    </row>
    <row r="203" spans="3:7" ht="15.75" customHeight="1" x14ac:dyDescent="0.25">
      <c r="C203"/>
      <c r="E203" s="13"/>
      <c r="F203" s="13"/>
      <c r="G203" s="13"/>
    </row>
    <row r="204" spans="3:7" ht="15.75" customHeight="1" x14ac:dyDescent="0.25">
      <c r="C204"/>
      <c r="E204" s="13"/>
      <c r="F204" s="13"/>
      <c r="G204" s="13"/>
    </row>
    <row r="205" spans="3:7" ht="15.75" customHeight="1" x14ac:dyDescent="0.25">
      <c r="C205"/>
      <c r="E205" s="13"/>
      <c r="F205" s="13"/>
      <c r="G205" s="13"/>
    </row>
    <row r="206" spans="3:7" ht="15.75" customHeight="1" x14ac:dyDescent="0.25">
      <c r="C206"/>
      <c r="E206" s="13"/>
      <c r="F206" s="13"/>
      <c r="G206" s="13"/>
    </row>
    <row r="207" spans="3:7" ht="15.75" customHeight="1" x14ac:dyDescent="0.25">
      <c r="C207"/>
      <c r="E207" s="13"/>
      <c r="F207" s="13"/>
      <c r="G207" s="13"/>
    </row>
    <row r="208" spans="3:7" ht="15.75" customHeight="1" x14ac:dyDescent="0.25">
      <c r="C208"/>
      <c r="E208" s="13"/>
      <c r="F208" s="13"/>
      <c r="G208" s="13"/>
    </row>
    <row r="209" spans="3:7" ht="15.75" customHeight="1" x14ac:dyDescent="0.25">
      <c r="C209"/>
      <c r="E209" s="13"/>
      <c r="F209" s="13"/>
      <c r="G209" s="13"/>
    </row>
    <row r="210" spans="3:7" ht="15.75" customHeight="1" x14ac:dyDescent="0.25">
      <c r="C210"/>
      <c r="E210" s="13"/>
      <c r="F210" s="13"/>
      <c r="G210" s="13"/>
    </row>
    <row r="211" spans="3:7" ht="15.75" customHeight="1" x14ac:dyDescent="0.25">
      <c r="C211"/>
      <c r="E211" s="13"/>
      <c r="F211" s="13"/>
      <c r="G211" s="13"/>
    </row>
    <row r="212" spans="3:7" ht="15.75" customHeight="1" x14ac:dyDescent="0.25">
      <c r="C212"/>
      <c r="E212" s="13"/>
      <c r="F212" s="13"/>
      <c r="G212" s="13"/>
    </row>
    <row r="213" spans="3:7" ht="15.75" customHeight="1" x14ac:dyDescent="0.25">
      <c r="C213"/>
      <c r="E213" s="13"/>
      <c r="F213" s="13"/>
      <c r="G213" s="13"/>
    </row>
    <row r="214" spans="3:7" ht="15.75" customHeight="1" x14ac:dyDescent="0.25">
      <c r="C214"/>
      <c r="E214" s="13"/>
      <c r="F214" s="13"/>
      <c r="G214" s="13"/>
    </row>
    <row r="215" spans="3:7" ht="15.75" customHeight="1" x14ac:dyDescent="0.25">
      <c r="C215"/>
      <c r="E215" s="13"/>
      <c r="F215" s="13"/>
      <c r="G215" s="13"/>
    </row>
    <row r="216" spans="3:7" ht="15.75" customHeight="1" x14ac:dyDescent="0.25">
      <c r="C216"/>
      <c r="E216" s="13"/>
      <c r="F216" s="13"/>
      <c r="G216" s="13"/>
    </row>
    <row r="217" spans="3:7" ht="15.75" customHeight="1" x14ac:dyDescent="0.25">
      <c r="C217"/>
      <c r="E217" s="13"/>
      <c r="F217" s="13"/>
      <c r="G217" s="13"/>
    </row>
    <row r="218" spans="3:7" ht="15.75" customHeight="1" x14ac:dyDescent="0.25">
      <c r="C218"/>
      <c r="E218" s="13"/>
      <c r="F218" s="13"/>
      <c r="G218" s="13"/>
    </row>
    <row r="219" spans="3:7" ht="15.75" customHeight="1" x14ac:dyDescent="0.25">
      <c r="C219"/>
      <c r="E219" s="13"/>
      <c r="F219" s="13"/>
      <c r="G219" s="13"/>
    </row>
    <row r="220" spans="3:7" ht="15.75" customHeight="1" x14ac:dyDescent="0.25">
      <c r="C220"/>
      <c r="E220" s="13"/>
      <c r="F220" s="13"/>
      <c r="G220" s="13"/>
    </row>
    <row r="221" spans="3:7" ht="15.75" customHeight="1" x14ac:dyDescent="0.25">
      <c r="C221"/>
      <c r="E221" s="13"/>
      <c r="F221" s="13"/>
      <c r="G221" s="13"/>
    </row>
    <row r="222" spans="3:7" ht="15.75" customHeight="1" x14ac:dyDescent="0.25">
      <c r="C222"/>
      <c r="E222" s="13"/>
      <c r="F222" s="13"/>
      <c r="G222" s="13"/>
    </row>
    <row r="223" spans="3:7" ht="15.75" customHeight="1" x14ac:dyDescent="0.25">
      <c r="C223"/>
      <c r="E223" s="13"/>
      <c r="F223" s="13"/>
      <c r="G223" s="13"/>
    </row>
    <row r="224" spans="3:7" ht="15.75" customHeight="1" x14ac:dyDescent="0.25">
      <c r="C224"/>
      <c r="E224" s="13"/>
      <c r="F224" s="13"/>
      <c r="G224" s="13"/>
    </row>
    <row r="225" spans="3:7" ht="15.75" customHeight="1" x14ac:dyDescent="0.25">
      <c r="C225"/>
      <c r="E225" s="13"/>
      <c r="F225" s="13"/>
      <c r="G225" s="13"/>
    </row>
    <row r="226" spans="3:7" ht="15.75" customHeight="1" x14ac:dyDescent="0.25">
      <c r="C226"/>
      <c r="E226" s="13"/>
      <c r="F226" s="13"/>
      <c r="G226" s="13"/>
    </row>
    <row r="227" spans="3:7" ht="15.75" customHeight="1" x14ac:dyDescent="0.25">
      <c r="C227"/>
      <c r="E227" s="13"/>
      <c r="F227" s="13"/>
      <c r="G227" s="13"/>
    </row>
    <row r="228" spans="3:7" ht="15.75" customHeight="1" x14ac:dyDescent="0.25">
      <c r="C228"/>
      <c r="E228" s="13"/>
      <c r="F228" s="13"/>
      <c r="G228" s="13"/>
    </row>
    <row r="229" spans="3:7" ht="15.75" customHeight="1" x14ac:dyDescent="0.25">
      <c r="C229"/>
      <c r="E229" s="13"/>
      <c r="F229" s="13"/>
      <c r="G229" s="13"/>
    </row>
    <row r="230" spans="3:7" ht="15.75" customHeight="1" x14ac:dyDescent="0.25">
      <c r="C230"/>
      <c r="E230" s="13"/>
      <c r="F230" s="13"/>
      <c r="G230" s="13"/>
    </row>
    <row r="231" spans="3:7" ht="15.75" customHeight="1" x14ac:dyDescent="0.25">
      <c r="C231"/>
      <c r="E231" s="13"/>
      <c r="F231" s="13"/>
      <c r="G231" s="13"/>
    </row>
    <row r="232" spans="3:7" ht="15.75" customHeight="1" x14ac:dyDescent="0.25">
      <c r="C232"/>
      <c r="E232" s="13"/>
      <c r="F232" s="13"/>
      <c r="G232" s="13"/>
    </row>
    <row r="233" spans="3:7" ht="15.75" customHeight="1" x14ac:dyDescent="0.25">
      <c r="C233"/>
      <c r="E233" s="13"/>
      <c r="F233" s="13"/>
      <c r="G233" s="13"/>
    </row>
    <row r="234" spans="3:7" ht="15.75" customHeight="1" x14ac:dyDescent="0.25">
      <c r="C234"/>
      <c r="E234" s="13"/>
      <c r="F234" s="13"/>
      <c r="G234" s="13"/>
    </row>
    <row r="235" spans="3:7" ht="15.75" customHeight="1" x14ac:dyDescent="0.25">
      <c r="C235"/>
      <c r="E235" s="13"/>
      <c r="F235" s="13"/>
      <c r="G235" s="13"/>
    </row>
    <row r="236" spans="3:7" ht="15.75" customHeight="1" x14ac:dyDescent="0.25">
      <c r="C236"/>
      <c r="E236" s="13"/>
      <c r="F236" s="13"/>
      <c r="G236" s="13"/>
    </row>
    <row r="237" spans="3:7" ht="15.75" customHeight="1" x14ac:dyDescent="0.25">
      <c r="C237"/>
      <c r="E237" s="13"/>
      <c r="F237" s="13"/>
      <c r="G237" s="13"/>
    </row>
    <row r="238" spans="3:7" ht="15.75" customHeight="1" x14ac:dyDescent="0.25">
      <c r="C238"/>
      <c r="E238" s="13"/>
      <c r="F238" s="13"/>
      <c r="G238" s="13"/>
    </row>
    <row r="239" spans="3:7" ht="15.75" customHeight="1" x14ac:dyDescent="0.25">
      <c r="C239"/>
      <c r="E239" s="13"/>
      <c r="F239" s="13"/>
      <c r="G239" s="13"/>
    </row>
    <row r="240" spans="3:7" ht="15.75" customHeight="1" x14ac:dyDescent="0.25">
      <c r="C240"/>
      <c r="E240" s="13"/>
      <c r="F240" s="13"/>
      <c r="G240" s="13"/>
    </row>
    <row r="241" spans="3:7" ht="15.75" customHeight="1" x14ac:dyDescent="0.25">
      <c r="C241"/>
      <c r="E241" s="13"/>
      <c r="F241" s="13"/>
      <c r="G241" s="13"/>
    </row>
    <row r="242" spans="3:7" ht="15.75" customHeight="1" x14ac:dyDescent="0.25">
      <c r="C242"/>
      <c r="E242" s="13"/>
      <c r="F242" s="13"/>
      <c r="G242" s="13"/>
    </row>
    <row r="243" spans="3:7" ht="15.75" customHeight="1" x14ac:dyDescent="0.25">
      <c r="C243"/>
      <c r="E243" s="13"/>
      <c r="F243" s="13"/>
      <c r="G243" s="13"/>
    </row>
    <row r="244" spans="3:7" ht="15.75" customHeight="1" x14ac:dyDescent="0.25">
      <c r="C244"/>
      <c r="E244" s="13"/>
      <c r="F244" s="13"/>
      <c r="G244" s="13"/>
    </row>
    <row r="245" spans="3:7" ht="15.75" customHeight="1" x14ac:dyDescent="0.25">
      <c r="C245"/>
      <c r="E245" s="13"/>
      <c r="F245" s="13"/>
      <c r="G245" s="13"/>
    </row>
    <row r="246" spans="3:7" ht="15.75" customHeight="1" x14ac:dyDescent="0.25">
      <c r="C246"/>
      <c r="E246" s="13"/>
      <c r="F246" s="13"/>
      <c r="G246" s="13"/>
    </row>
    <row r="247" spans="3:7" ht="15.75" customHeight="1" x14ac:dyDescent="0.25">
      <c r="C247"/>
      <c r="E247" s="13"/>
      <c r="F247" s="13"/>
      <c r="G247" s="13"/>
    </row>
    <row r="248" spans="3:7" ht="15.75" customHeight="1" x14ac:dyDescent="0.25">
      <c r="C248"/>
      <c r="E248" s="13"/>
      <c r="F248" s="13"/>
      <c r="G248" s="13"/>
    </row>
    <row r="249" spans="3:7" ht="15.75" customHeight="1" x14ac:dyDescent="0.25">
      <c r="C249"/>
      <c r="E249" s="13"/>
      <c r="F249" s="13"/>
      <c r="G249" s="13"/>
    </row>
    <row r="250" spans="3:7" ht="15.75" customHeight="1" x14ac:dyDescent="0.25">
      <c r="C250"/>
      <c r="E250" s="13"/>
      <c r="F250" s="13"/>
      <c r="G250" s="13"/>
    </row>
    <row r="251" spans="3:7" ht="15.75" customHeight="1" x14ac:dyDescent="0.25">
      <c r="C251"/>
      <c r="E251" s="13"/>
      <c r="F251" s="13"/>
      <c r="G251" s="13"/>
    </row>
    <row r="252" spans="3:7" ht="15.75" customHeight="1" x14ac:dyDescent="0.25">
      <c r="C252"/>
      <c r="E252" s="13"/>
      <c r="F252" s="13"/>
      <c r="G252" s="13"/>
    </row>
    <row r="253" spans="3:7" ht="15.75" customHeight="1" x14ac:dyDescent="0.25">
      <c r="C253"/>
      <c r="E253" s="13"/>
      <c r="F253" s="13"/>
      <c r="G253" s="13"/>
    </row>
    <row r="254" spans="3:7" ht="15.75" customHeight="1" x14ac:dyDescent="0.25">
      <c r="C254"/>
      <c r="E254" s="13"/>
      <c r="F254" s="13"/>
      <c r="G254" s="13"/>
    </row>
    <row r="255" spans="3:7" ht="15.75" customHeight="1" x14ac:dyDescent="0.25">
      <c r="C255"/>
      <c r="E255" s="13"/>
      <c r="F255" s="13"/>
      <c r="G255" s="13"/>
    </row>
    <row r="256" spans="3:7" ht="15.75" customHeight="1" x14ac:dyDescent="0.25">
      <c r="C256"/>
      <c r="E256" s="13"/>
      <c r="F256" s="13"/>
      <c r="G256" s="13"/>
    </row>
    <row r="257" spans="3:7" ht="15.75" customHeight="1" x14ac:dyDescent="0.25">
      <c r="C257"/>
      <c r="E257" s="13"/>
      <c r="F257" s="13"/>
      <c r="G257" s="13"/>
    </row>
    <row r="258" spans="3:7" ht="15.75" customHeight="1" x14ac:dyDescent="0.25">
      <c r="C258"/>
      <c r="E258" s="13"/>
      <c r="F258" s="13"/>
      <c r="G258" s="13"/>
    </row>
    <row r="259" spans="3:7" ht="15.75" customHeight="1" x14ac:dyDescent="0.25">
      <c r="C259"/>
      <c r="E259" s="13"/>
      <c r="F259" s="13"/>
      <c r="G259" s="13"/>
    </row>
    <row r="260" spans="3:7" ht="15.75" customHeight="1" x14ac:dyDescent="0.25">
      <c r="C260"/>
      <c r="E260" s="13"/>
      <c r="F260" s="13"/>
      <c r="G260" s="13"/>
    </row>
    <row r="261" spans="3:7" ht="15.75" customHeight="1" x14ac:dyDescent="0.25">
      <c r="C261"/>
      <c r="E261" s="13"/>
      <c r="F261" s="13"/>
      <c r="G261" s="13"/>
    </row>
    <row r="262" spans="3:7" ht="15.75" customHeight="1" x14ac:dyDescent="0.25">
      <c r="C262"/>
      <c r="E262" s="13"/>
      <c r="F262" s="13"/>
      <c r="G262" s="13"/>
    </row>
    <row r="263" spans="3:7" ht="15.75" customHeight="1" x14ac:dyDescent="0.25">
      <c r="C263"/>
      <c r="E263" s="13"/>
      <c r="F263" s="13"/>
      <c r="G263" s="13"/>
    </row>
    <row r="264" spans="3:7" ht="15.75" customHeight="1" x14ac:dyDescent="0.25">
      <c r="C264"/>
      <c r="E264" s="13"/>
      <c r="F264" s="13"/>
      <c r="G264" s="13"/>
    </row>
    <row r="265" spans="3:7" ht="15.75" customHeight="1" x14ac:dyDescent="0.25">
      <c r="C265"/>
      <c r="E265" s="13"/>
      <c r="F265" s="13"/>
      <c r="G265" s="13"/>
    </row>
    <row r="266" spans="3:7" ht="15.75" customHeight="1" x14ac:dyDescent="0.25">
      <c r="C266"/>
      <c r="E266" s="13"/>
      <c r="F266" s="13"/>
      <c r="G266" s="13"/>
    </row>
    <row r="267" spans="3:7" ht="15.75" customHeight="1" x14ac:dyDescent="0.25">
      <c r="C267"/>
      <c r="E267" s="13"/>
      <c r="F267" s="13"/>
      <c r="G267" s="13"/>
    </row>
    <row r="268" spans="3:7" ht="15.75" customHeight="1" x14ac:dyDescent="0.25">
      <c r="C268"/>
      <c r="E268" s="13"/>
      <c r="F268" s="13"/>
      <c r="G268" s="13"/>
    </row>
    <row r="269" spans="3:7" ht="15.75" customHeight="1" x14ac:dyDescent="0.25">
      <c r="C269"/>
      <c r="E269" s="13"/>
      <c r="F269" s="13"/>
      <c r="G269" s="13"/>
    </row>
    <row r="270" spans="3:7" ht="15.75" customHeight="1" x14ac:dyDescent="0.25">
      <c r="C270"/>
      <c r="E270" s="13"/>
      <c r="F270" s="13"/>
      <c r="G270" s="13"/>
    </row>
    <row r="271" spans="3:7" ht="15.75" customHeight="1" x14ac:dyDescent="0.25">
      <c r="C271"/>
      <c r="E271" s="13"/>
      <c r="F271" s="13"/>
      <c r="G271" s="13"/>
    </row>
    <row r="272" spans="3:7" ht="15.75" customHeight="1" x14ac:dyDescent="0.25">
      <c r="C272"/>
      <c r="E272" s="13"/>
      <c r="F272" s="13"/>
      <c r="G272" s="13"/>
    </row>
    <row r="273" spans="3:7" ht="15.75" customHeight="1" x14ac:dyDescent="0.25">
      <c r="C273"/>
      <c r="E273" s="13"/>
      <c r="F273" s="13"/>
      <c r="G273" s="13"/>
    </row>
    <row r="274" spans="3:7" ht="15.75" customHeight="1" x14ac:dyDescent="0.25">
      <c r="C274"/>
      <c r="E274" s="13"/>
      <c r="F274" s="13"/>
      <c r="G274" s="13"/>
    </row>
    <row r="275" spans="3:7" ht="15.75" customHeight="1" x14ac:dyDescent="0.25">
      <c r="C275"/>
      <c r="E275" s="13"/>
      <c r="F275" s="13"/>
      <c r="G275" s="13"/>
    </row>
    <row r="276" spans="3:7" ht="15.75" customHeight="1" x14ac:dyDescent="0.25">
      <c r="C276"/>
      <c r="E276" s="13"/>
      <c r="F276" s="13"/>
      <c r="G276" s="13"/>
    </row>
    <row r="277" spans="3:7" ht="15.75" customHeight="1" x14ac:dyDescent="0.25">
      <c r="C277"/>
      <c r="E277" s="13"/>
      <c r="F277" s="13"/>
      <c r="G277" s="13"/>
    </row>
    <row r="278" spans="3:7" ht="15.75" customHeight="1" x14ac:dyDescent="0.25">
      <c r="C278"/>
      <c r="E278" s="13"/>
      <c r="F278" s="13"/>
      <c r="G278" s="13"/>
    </row>
    <row r="279" spans="3:7" ht="15.75" customHeight="1" x14ac:dyDescent="0.25">
      <c r="C279"/>
      <c r="E279" s="13"/>
      <c r="F279" s="13"/>
      <c r="G279" s="13"/>
    </row>
    <row r="280" spans="3:7" ht="15.75" customHeight="1" x14ac:dyDescent="0.25">
      <c r="C280"/>
      <c r="E280" s="13"/>
      <c r="F280" s="13"/>
      <c r="G280" s="13"/>
    </row>
    <row r="281" spans="3:7" ht="15.75" customHeight="1" x14ac:dyDescent="0.25">
      <c r="C281"/>
      <c r="E281" s="13"/>
      <c r="F281" s="13"/>
      <c r="G281" s="13"/>
    </row>
    <row r="282" spans="3:7" ht="15.75" customHeight="1" x14ac:dyDescent="0.25">
      <c r="C282"/>
      <c r="E282" s="13"/>
      <c r="F282" s="13"/>
      <c r="G282" s="13"/>
    </row>
    <row r="283" spans="3:7" ht="15.75" customHeight="1" x14ac:dyDescent="0.25">
      <c r="C283"/>
      <c r="E283" s="13"/>
      <c r="F283" s="13"/>
      <c r="G283" s="13"/>
    </row>
    <row r="284" spans="3:7" ht="15.75" customHeight="1" x14ac:dyDescent="0.25">
      <c r="C284"/>
      <c r="E284" s="13"/>
      <c r="F284" s="13"/>
      <c r="G284" s="13"/>
    </row>
    <row r="285" spans="3:7" ht="15.75" customHeight="1" x14ac:dyDescent="0.25">
      <c r="C285"/>
      <c r="E285" s="13"/>
      <c r="F285" s="13"/>
      <c r="G285" s="13"/>
    </row>
    <row r="286" spans="3:7" ht="15.75" customHeight="1" x14ac:dyDescent="0.25">
      <c r="C286"/>
      <c r="E286" s="13"/>
      <c r="F286" s="13"/>
      <c r="G286" s="13"/>
    </row>
    <row r="287" spans="3:7" ht="15.75" customHeight="1" x14ac:dyDescent="0.25">
      <c r="C287"/>
      <c r="E287" s="13"/>
      <c r="F287" s="13"/>
      <c r="G287" s="13"/>
    </row>
    <row r="288" spans="3:7" ht="15.75" customHeight="1" x14ac:dyDescent="0.25">
      <c r="C288"/>
      <c r="E288" s="13"/>
      <c r="F288" s="13"/>
      <c r="G288" s="13"/>
    </row>
    <row r="289" spans="3:7" ht="15.75" customHeight="1" x14ac:dyDescent="0.25">
      <c r="C289"/>
      <c r="E289" s="13"/>
      <c r="F289" s="13"/>
      <c r="G289" s="13"/>
    </row>
    <row r="290" spans="3:7" ht="15.75" customHeight="1" x14ac:dyDescent="0.25">
      <c r="C290"/>
      <c r="E290" s="13"/>
      <c r="F290" s="13"/>
      <c r="G290" s="13"/>
    </row>
    <row r="291" spans="3:7" ht="15.75" customHeight="1" x14ac:dyDescent="0.25">
      <c r="C291"/>
      <c r="E291" s="13"/>
      <c r="F291" s="13"/>
      <c r="G291" s="13"/>
    </row>
    <row r="292" spans="3:7" ht="15.75" customHeight="1" x14ac:dyDescent="0.25">
      <c r="C292"/>
      <c r="E292" s="13"/>
      <c r="F292" s="13"/>
      <c r="G292" s="13"/>
    </row>
    <row r="293" spans="3:7" ht="15.75" customHeight="1" x14ac:dyDescent="0.25">
      <c r="C293"/>
      <c r="E293" s="13"/>
      <c r="F293" s="13"/>
      <c r="G293" s="13"/>
    </row>
    <row r="294" spans="3:7" ht="15.75" customHeight="1" x14ac:dyDescent="0.25">
      <c r="C294"/>
      <c r="E294" s="13"/>
      <c r="F294" s="13"/>
      <c r="G294" s="13"/>
    </row>
    <row r="295" spans="3:7" ht="15.75" customHeight="1" x14ac:dyDescent="0.25">
      <c r="C295"/>
      <c r="E295" s="13"/>
      <c r="F295" s="13"/>
      <c r="G295" s="13"/>
    </row>
    <row r="296" spans="3:7" ht="15.75" customHeight="1" x14ac:dyDescent="0.25">
      <c r="C296"/>
      <c r="E296" s="13"/>
      <c r="F296" s="13"/>
      <c r="G296" s="13"/>
    </row>
    <row r="297" spans="3:7" ht="15.75" customHeight="1" x14ac:dyDescent="0.25">
      <c r="C297"/>
      <c r="E297" s="13"/>
      <c r="F297" s="13"/>
      <c r="G297" s="13"/>
    </row>
    <row r="298" spans="3:7" ht="15.75" customHeight="1" x14ac:dyDescent="0.25">
      <c r="C298"/>
      <c r="E298" s="13"/>
      <c r="F298" s="13"/>
      <c r="G298" s="13"/>
    </row>
    <row r="299" spans="3:7" ht="15.75" customHeight="1" x14ac:dyDescent="0.25">
      <c r="C299"/>
      <c r="E299" s="13"/>
      <c r="F299" s="13"/>
      <c r="G299" s="13"/>
    </row>
    <row r="300" spans="3:7" ht="15.75" customHeight="1" x14ac:dyDescent="0.25">
      <c r="C300"/>
      <c r="E300" s="13"/>
      <c r="F300" s="13"/>
      <c r="G300" s="13"/>
    </row>
    <row r="301" spans="3:7" ht="15.75" customHeight="1" x14ac:dyDescent="0.25">
      <c r="C301"/>
      <c r="E301" s="13"/>
      <c r="F301" s="13"/>
      <c r="G301" s="13"/>
    </row>
    <row r="302" spans="3:7" ht="15.75" customHeight="1" x14ac:dyDescent="0.25">
      <c r="C302"/>
      <c r="E302" s="13"/>
      <c r="F302" s="13"/>
      <c r="G302" s="13"/>
    </row>
    <row r="303" spans="3:7" ht="15.75" customHeight="1" x14ac:dyDescent="0.25">
      <c r="C303"/>
      <c r="E303" s="13"/>
      <c r="F303" s="13"/>
      <c r="G303" s="13"/>
    </row>
    <row r="304" spans="3:7" ht="15.75" customHeight="1" x14ac:dyDescent="0.25">
      <c r="C304"/>
      <c r="E304" s="13"/>
      <c r="F304" s="13"/>
      <c r="G304" s="13"/>
    </row>
    <row r="305" spans="3:7" ht="15.75" customHeight="1" x14ac:dyDescent="0.25">
      <c r="C305"/>
      <c r="E305" s="13"/>
      <c r="F305" s="13"/>
      <c r="G305" s="13"/>
    </row>
    <row r="306" spans="3:7" ht="15.75" customHeight="1" x14ac:dyDescent="0.25">
      <c r="C306"/>
      <c r="E306" s="13"/>
      <c r="F306" s="13"/>
      <c r="G306" s="13"/>
    </row>
    <row r="307" spans="3:7" ht="15.75" customHeight="1" x14ac:dyDescent="0.25">
      <c r="C307"/>
      <c r="E307" s="13"/>
      <c r="F307" s="13"/>
      <c r="G307" s="13"/>
    </row>
    <row r="308" spans="3:7" ht="15.75" customHeight="1" x14ac:dyDescent="0.25">
      <c r="C308"/>
      <c r="E308" s="13"/>
      <c r="F308" s="13"/>
      <c r="G308" s="13"/>
    </row>
    <row r="309" spans="3:7" ht="15.75" customHeight="1" x14ac:dyDescent="0.25">
      <c r="C309"/>
      <c r="E309" s="13"/>
      <c r="F309" s="13"/>
      <c r="G309" s="13"/>
    </row>
    <row r="310" spans="3:7" ht="15.75" customHeight="1" x14ac:dyDescent="0.25">
      <c r="C310"/>
      <c r="E310" s="13"/>
      <c r="F310" s="13"/>
      <c r="G310" s="13"/>
    </row>
    <row r="311" spans="3:7" ht="15.75" customHeight="1" x14ac:dyDescent="0.25">
      <c r="C311"/>
      <c r="E311" s="13"/>
      <c r="F311" s="13"/>
      <c r="G311" s="13"/>
    </row>
    <row r="312" spans="3:7" ht="15.75" customHeight="1" x14ac:dyDescent="0.25">
      <c r="C312"/>
      <c r="E312" s="13"/>
      <c r="F312" s="13"/>
      <c r="G312" s="13"/>
    </row>
    <row r="313" spans="3:7" ht="15.75" customHeight="1" x14ac:dyDescent="0.25">
      <c r="C313"/>
      <c r="E313" s="13"/>
      <c r="F313" s="13"/>
      <c r="G313" s="13"/>
    </row>
    <row r="314" spans="3:7" ht="15.75" customHeight="1" x14ac:dyDescent="0.25">
      <c r="C314"/>
      <c r="E314" s="13"/>
      <c r="F314" s="13"/>
      <c r="G314" s="13"/>
    </row>
    <row r="315" spans="3:7" ht="15.75" customHeight="1" x14ac:dyDescent="0.25">
      <c r="C315"/>
      <c r="E315" s="13"/>
      <c r="F315" s="13"/>
      <c r="G315" s="13"/>
    </row>
    <row r="316" spans="3:7" ht="15.75" customHeight="1" x14ac:dyDescent="0.25">
      <c r="C316"/>
      <c r="E316" s="13"/>
      <c r="F316" s="13"/>
      <c r="G316" s="13"/>
    </row>
    <row r="317" spans="3:7" ht="15.75" customHeight="1" x14ac:dyDescent="0.25">
      <c r="C317"/>
      <c r="E317" s="13"/>
      <c r="F317" s="13"/>
      <c r="G317" s="13"/>
    </row>
    <row r="318" spans="3:7" ht="15.75" customHeight="1" x14ac:dyDescent="0.25">
      <c r="C318"/>
      <c r="E318" s="13"/>
      <c r="F318" s="13"/>
      <c r="G318" s="13"/>
    </row>
    <row r="319" spans="3:7" ht="15.75" customHeight="1" x14ac:dyDescent="0.25">
      <c r="C319"/>
      <c r="E319" s="13"/>
      <c r="F319" s="13"/>
      <c r="G319" s="13"/>
    </row>
    <row r="320" spans="3:7" ht="15.75" customHeight="1" x14ac:dyDescent="0.25">
      <c r="C320"/>
      <c r="E320" s="13"/>
      <c r="F320" s="13"/>
      <c r="G320" s="13"/>
    </row>
    <row r="321" spans="3:7" ht="15.75" customHeight="1" x14ac:dyDescent="0.25">
      <c r="C321"/>
      <c r="E321" s="13"/>
      <c r="F321" s="13"/>
      <c r="G321" s="13"/>
    </row>
    <row r="322" spans="3:7" ht="15.75" customHeight="1" x14ac:dyDescent="0.25">
      <c r="C322"/>
      <c r="E322" s="13"/>
      <c r="F322" s="13"/>
      <c r="G322" s="13"/>
    </row>
    <row r="323" spans="3:7" ht="15.75" customHeight="1" x14ac:dyDescent="0.25">
      <c r="C323"/>
      <c r="E323" s="13"/>
      <c r="F323" s="13"/>
      <c r="G323" s="13"/>
    </row>
    <row r="324" spans="3:7" ht="15.75" customHeight="1" x14ac:dyDescent="0.25">
      <c r="C324"/>
      <c r="E324" s="13"/>
      <c r="F324" s="13"/>
      <c r="G324" s="13"/>
    </row>
    <row r="325" spans="3:7" ht="15.75" customHeight="1" x14ac:dyDescent="0.25">
      <c r="C325"/>
      <c r="E325" s="13"/>
      <c r="F325" s="13"/>
      <c r="G325" s="13"/>
    </row>
    <row r="326" spans="3:7" ht="15.75" customHeight="1" x14ac:dyDescent="0.25">
      <c r="C326"/>
      <c r="E326" s="13"/>
      <c r="F326" s="13"/>
      <c r="G326" s="13"/>
    </row>
    <row r="327" spans="3:7" ht="15.75" customHeight="1" x14ac:dyDescent="0.25">
      <c r="C327"/>
      <c r="E327" s="13"/>
      <c r="F327" s="13"/>
      <c r="G327" s="13"/>
    </row>
    <row r="328" spans="3:7" ht="15.75" customHeight="1" x14ac:dyDescent="0.25">
      <c r="C328"/>
      <c r="E328" s="13"/>
      <c r="F328" s="13"/>
      <c r="G328" s="13"/>
    </row>
    <row r="329" spans="3:7" ht="15.75" customHeight="1" x14ac:dyDescent="0.25">
      <c r="C329"/>
      <c r="E329" s="13"/>
      <c r="F329" s="13"/>
      <c r="G329" s="13"/>
    </row>
    <row r="330" spans="3:7" ht="15.75" customHeight="1" x14ac:dyDescent="0.25">
      <c r="C330"/>
      <c r="E330" s="13"/>
      <c r="F330" s="13"/>
      <c r="G330" s="13"/>
    </row>
    <row r="331" spans="3:7" ht="15.75" customHeight="1" x14ac:dyDescent="0.25">
      <c r="C331"/>
      <c r="E331" s="13"/>
      <c r="F331" s="13"/>
      <c r="G331" s="13"/>
    </row>
    <row r="332" spans="3:7" ht="15.75" customHeight="1" x14ac:dyDescent="0.25">
      <c r="C332"/>
      <c r="E332" s="13"/>
      <c r="F332" s="13"/>
      <c r="G332" s="13"/>
    </row>
    <row r="333" spans="3:7" ht="15.75" customHeight="1" x14ac:dyDescent="0.25">
      <c r="C333"/>
      <c r="E333" s="13"/>
      <c r="F333" s="13"/>
      <c r="G333" s="13"/>
    </row>
    <row r="334" spans="3:7" ht="15.75" customHeight="1" x14ac:dyDescent="0.25">
      <c r="C334"/>
      <c r="E334" s="13"/>
      <c r="F334" s="13"/>
      <c r="G334" s="13"/>
    </row>
    <row r="335" spans="3:7" ht="15.75" customHeight="1" x14ac:dyDescent="0.25">
      <c r="C335"/>
      <c r="E335" s="13"/>
      <c r="F335" s="13"/>
      <c r="G335" s="13"/>
    </row>
    <row r="336" spans="3:7" ht="15.75" customHeight="1" x14ac:dyDescent="0.25">
      <c r="C336"/>
      <c r="E336" s="13"/>
      <c r="F336" s="13"/>
      <c r="G336" s="13"/>
    </row>
    <row r="337" spans="3:7" ht="15.75" customHeight="1" x14ac:dyDescent="0.25">
      <c r="C337"/>
      <c r="E337" s="13"/>
      <c r="F337" s="13"/>
      <c r="G337" s="13"/>
    </row>
    <row r="338" spans="3:7" ht="15.75" customHeight="1" x14ac:dyDescent="0.25">
      <c r="C338"/>
      <c r="E338" s="13"/>
      <c r="F338" s="13"/>
      <c r="G338" s="13"/>
    </row>
    <row r="339" spans="3:7" ht="15.75" customHeight="1" x14ac:dyDescent="0.25">
      <c r="C339"/>
      <c r="E339" s="13"/>
      <c r="F339" s="13"/>
      <c r="G339" s="13"/>
    </row>
    <row r="340" spans="3:7" ht="15.75" customHeight="1" x14ac:dyDescent="0.25">
      <c r="C340"/>
      <c r="E340" s="13"/>
      <c r="F340" s="13"/>
      <c r="G340" s="13"/>
    </row>
    <row r="341" spans="3:7" ht="15.75" customHeight="1" x14ac:dyDescent="0.25">
      <c r="C341"/>
      <c r="E341" s="13"/>
      <c r="F341" s="13"/>
      <c r="G341" s="13"/>
    </row>
    <row r="342" spans="3:7" ht="15.75" customHeight="1" x14ac:dyDescent="0.25">
      <c r="C342"/>
      <c r="E342" s="13"/>
      <c r="F342" s="13"/>
      <c r="G342" s="13"/>
    </row>
    <row r="343" spans="3:7" ht="15.75" customHeight="1" x14ac:dyDescent="0.25">
      <c r="C343"/>
      <c r="E343" s="13"/>
      <c r="F343" s="13"/>
      <c r="G343" s="13"/>
    </row>
    <row r="344" spans="3:7" ht="15.75" customHeight="1" x14ac:dyDescent="0.25">
      <c r="C344"/>
      <c r="E344" s="13"/>
      <c r="F344" s="13"/>
      <c r="G344" s="13"/>
    </row>
    <row r="345" spans="3:7" ht="15.75" customHeight="1" x14ac:dyDescent="0.25">
      <c r="C345"/>
      <c r="E345" s="13"/>
      <c r="F345" s="13"/>
      <c r="G345" s="13"/>
    </row>
    <row r="346" spans="3:7" ht="15.75" customHeight="1" x14ac:dyDescent="0.25">
      <c r="C346"/>
      <c r="E346" s="13"/>
      <c r="F346" s="13"/>
      <c r="G346" s="13"/>
    </row>
    <row r="347" spans="3:7" ht="15.75" customHeight="1" x14ac:dyDescent="0.25">
      <c r="C347"/>
      <c r="E347" s="13"/>
      <c r="F347" s="13"/>
      <c r="G347" s="13"/>
    </row>
    <row r="348" spans="3:7" ht="15.75" customHeight="1" x14ac:dyDescent="0.25">
      <c r="C348"/>
      <c r="E348" s="13"/>
      <c r="F348" s="13"/>
      <c r="G348" s="13"/>
    </row>
    <row r="349" spans="3:7" ht="15.75" customHeight="1" x14ac:dyDescent="0.25">
      <c r="C349"/>
      <c r="E349" s="13"/>
      <c r="F349" s="13"/>
      <c r="G349" s="13"/>
    </row>
    <row r="350" spans="3:7" ht="15.75" customHeight="1" x14ac:dyDescent="0.25">
      <c r="C350"/>
      <c r="E350" s="13"/>
      <c r="F350" s="13"/>
      <c r="G350" s="13"/>
    </row>
    <row r="351" spans="3:7" ht="15.75" customHeight="1" x14ac:dyDescent="0.25">
      <c r="C351"/>
      <c r="E351" s="13"/>
      <c r="F351" s="13"/>
      <c r="G351" s="13"/>
    </row>
    <row r="352" spans="3:7" ht="15.75" customHeight="1" x14ac:dyDescent="0.25">
      <c r="C352"/>
      <c r="E352" s="13"/>
      <c r="F352" s="13"/>
      <c r="G352" s="13"/>
    </row>
    <row r="353" spans="3:7" ht="15.75" customHeight="1" x14ac:dyDescent="0.25">
      <c r="C353"/>
      <c r="E353" s="13"/>
      <c r="F353" s="13"/>
      <c r="G353" s="13"/>
    </row>
    <row r="354" spans="3:7" ht="15.75" customHeight="1" x14ac:dyDescent="0.25">
      <c r="C354"/>
      <c r="E354" s="13"/>
      <c r="F354" s="13"/>
      <c r="G354" s="13"/>
    </row>
    <row r="355" spans="3:7" ht="15.75" customHeight="1" x14ac:dyDescent="0.25">
      <c r="C355"/>
      <c r="E355" s="13"/>
      <c r="F355" s="13"/>
      <c r="G355" s="13"/>
    </row>
    <row r="356" spans="3:7" ht="15.75" customHeight="1" x14ac:dyDescent="0.25">
      <c r="C356"/>
      <c r="E356" s="13"/>
      <c r="F356" s="13"/>
      <c r="G356" s="13"/>
    </row>
    <row r="357" spans="3:7" ht="15.75" customHeight="1" x14ac:dyDescent="0.25">
      <c r="C357"/>
      <c r="E357" s="13"/>
      <c r="F357" s="13"/>
      <c r="G357" s="13"/>
    </row>
    <row r="358" spans="3:7" ht="15.75" customHeight="1" x14ac:dyDescent="0.25">
      <c r="C358"/>
      <c r="E358" s="13"/>
      <c r="F358" s="13"/>
      <c r="G358" s="13"/>
    </row>
    <row r="359" spans="3:7" ht="15.75" customHeight="1" x14ac:dyDescent="0.25">
      <c r="C359"/>
      <c r="E359" s="13"/>
      <c r="F359" s="13"/>
      <c r="G359" s="13"/>
    </row>
    <row r="360" spans="3:7" ht="15.75" customHeight="1" x14ac:dyDescent="0.25">
      <c r="C360"/>
      <c r="E360" s="13"/>
      <c r="F360" s="13"/>
      <c r="G360" s="13"/>
    </row>
    <row r="361" spans="3:7" ht="15.75" customHeight="1" x14ac:dyDescent="0.25">
      <c r="C361"/>
      <c r="E361" s="13"/>
      <c r="F361" s="13"/>
      <c r="G361" s="13"/>
    </row>
    <row r="362" spans="3:7" ht="15.75" customHeight="1" x14ac:dyDescent="0.25">
      <c r="C362"/>
      <c r="E362" s="13"/>
      <c r="F362" s="13"/>
      <c r="G362" s="13"/>
    </row>
    <row r="363" spans="3:7" ht="15.75" customHeight="1" x14ac:dyDescent="0.25">
      <c r="C363"/>
      <c r="E363" s="13"/>
      <c r="F363" s="13"/>
      <c r="G363" s="13"/>
    </row>
    <row r="364" spans="3:7" ht="15.75" customHeight="1" x14ac:dyDescent="0.25">
      <c r="C364"/>
      <c r="E364" s="13"/>
      <c r="F364" s="13"/>
      <c r="G364" s="13"/>
    </row>
    <row r="365" spans="3:7" ht="15.75" customHeight="1" x14ac:dyDescent="0.25">
      <c r="C365"/>
      <c r="E365" s="13"/>
      <c r="F365" s="13"/>
      <c r="G365" s="13"/>
    </row>
    <row r="366" spans="3:7" ht="15.75" customHeight="1" x14ac:dyDescent="0.25">
      <c r="C366"/>
      <c r="E366" s="13"/>
      <c r="F366" s="13"/>
      <c r="G366" s="13"/>
    </row>
    <row r="367" spans="3:7" ht="15.75" customHeight="1" x14ac:dyDescent="0.25">
      <c r="C367"/>
      <c r="E367" s="13"/>
      <c r="F367" s="13"/>
      <c r="G367" s="13"/>
    </row>
    <row r="368" spans="3:7" ht="15.75" customHeight="1" x14ac:dyDescent="0.25">
      <c r="C368"/>
      <c r="E368" s="13"/>
      <c r="F368" s="13"/>
      <c r="G368" s="13"/>
    </row>
    <row r="369" spans="3:7" ht="15.75" customHeight="1" x14ac:dyDescent="0.25">
      <c r="C369"/>
      <c r="E369" s="13"/>
      <c r="F369" s="13"/>
      <c r="G369" s="13"/>
    </row>
    <row r="370" spans="3:7" ht="15.75" customHeight="1" x14ac:dyDescent="0.25">
      <c r="C370"/>
      <c r="E370" s="13"/>
      <c r="F370" s="13"/>
      <c r="G370" s="13"/>
    </row>
    <row r="371" spans="3:7" ht="15.75" customHeight="1" x14ac:dyDescent="0.25">
      <c r="C371"/>
      <c r="E371" s="13"/>
      <c r="F371" s="13"/>
      <c r="G371" s="13"/>
    </row>
    <row r="372" spans="3:7" ht="15.75" customHeight="1" x14ac:dyDescent="0.25">
      <c r="C372"/>
      <c r="E372" s="13"/>
      <c r="F372" s="13"/>
      <c r="G372" s="13"/>
    </row>
    <row r="373" spans="3:7" ht="15.75" customHeight="1" x14ac:dyDescent="0.25">
      <c r="C373"/>
      <c r="E373" s="13"/>
      <c r="F373" s="13"/>
      <c r="G373" s="13"/>
    </row>
    <row r="374" spans="3:7" ht="15.75" customHeight="1" x14ac:dyDescent="0.25">
      <c r="C374"/>
      <c r="E374" s="13"/>
      <c r="F374" s="13"/>
      <c r="G374" s="13"/>
    </row>
    <row r="375" spans="3:7" ht="15.75" customHeight="1" x14ac:dyDescent="0.25">
      <c r="C375"/>
      <c r="E375" s="13"/>
      <c r="F375" s="13"/>
      <c r="G375" s="13"/>
    </row>
    <row r="376" spans="3:7" ht="15.75" customHeight="1" x14ac:dyDescent="0.25">
      <c r="C376"/>
      <c r="E376" s="13"/>
      <c r="F376" s="13"/>
      <c r="G376" s="13"/>
    </row>
    <row r="377" spans="3:7" ht="15.75" customHeight="1" x14ac:dyDescent="0.25">
      <c r="C377"/>
      <c r="E377" s="13"/>
      <c r="F377" s="13"/>
      <c r="G377" s="13"/>
    </row>
    <row r="378" spans="3:7" ht="15.75" customHeight="1" x14ac:dyDescent="0.25">
      <c r="C378"/>
      <c r="E378" s="13"/>
      <c r="F378" s="13"/>
      <c r="G378" s="13"/>
    </row>
    <row r="379" spans="3:7" ht="15.75" customHeight="1" x14ac:dyDescent="0.25">
      <c r="C379"/>
      <c r="E379" s="13"/>
      <c r="F379" s="13"/>
      <c r="G379" s="13"/>
    </row>
    <row r="380" spans="3:7" ht="15.75" customHeight="1" x14ac:dyDescent="0.25">
      <c r="C380"/>
      <c r="E380" s="13"/>
      <c r="F380" s="13"/>
      <c r="G380" s="13"/>
    </row>
    <row r="381" spans="3:7" ht="15.75" customHeight="1" x14ac:dyDescent="0.25">
      <c r="C381"/>
      <c r="E381" s="13"/>
      <c r="F381" s="13"/>
      <c r="G381" s="13"/>
    </row>
    <row r="382" spans="3:7" ht="15.75" customHeight="1" x14ac:dyDescent="0.25">
      <c r="C382"/>
      <c r="E382" s="13"/>
      <c r="F382" s="13"/>
      <c r="G382" s="13"/>
    </row>
    <row r="383" spans="3:7" ht="15.75" customHeight="1" x14ac:dyDescent="0.25">
      <c r="C383"/>
      <c r="E383" s="13"/>
      <c r="F383" s="13"/>
      <c r="G383" s="13"/>
    </row>
    <row r="384" spans="3:7" ht="15.75" customHeight="1" x14ac:dyDescent="0.25">
      <c r="C384"/>
      <c r="E384" s="13"/>
      <c r="F384" s="13"/>
      <c r="G384" s="13"/>
    </row>
    <row r="385" spans="3:7" ht="15.75" customHeight="1" x14ac:dyDescent="0.25">
      <c r="C385"/>
      <c r="E385" s="13"/>
      <c r="F385" s="13"/>
      <c r="G385" s="13"/>
    </row>
    <row r="386" spans="3:7" ht="15.75" customHeight="1" x14ac:dyDescent="0.25">
      <c r="C386"/>
      <c r="E386" s="13"/>
      <c r="F386" s="13"/>
      <c r="G386" s="13"/>
    </row>
    <row r="387" spans="3:7" ht="15.75" customHeight="1" x14ac:dyDescent="0.25">
      <c r="C387"/>
      <c r="E387" s="13"/>
      <c r="F387" s="13"/>
      <c r="G387" s="13"/>
    </row>
    <row r="388" spans="3:7" ht="15.75" customHeight="1" x14ac:dyDescent="0.25">
      <c r="C388"/>
      <c r="E388" s="13"/>
      <c r="F388" s="13"/>
      <c r="G388" s="13"/>
    </row>
    <row r="389" spans="3:7" ht="15.75" customHeight="1" x14ac:dyDescent="0.25">
      <c r="C389"/>
      <c r="E389" s="13"/>
      <c r="F389" s="13"/>
      <c r="G389" s="13"/>
    </row>
    <row r="390" spans="3:7" ht="15.75" customHeight="1" x14ac:dyDescent="0.25">
      <c r="C390"/>
      <c r="E390" s="13"/>
      <c r="F390" s="13"/>
      <c r="G390" s="13"/>
    </row>
    <row r="391" spans="3:7" ht="15.75" customHeight="1" x14ac:dyDescent="0.25">
      <c r="C391"/>
      <c r="E391" s="13"/>
      <c r="F391" s="13"/>
      <c r="G391" s="13"/>
    </row>
    <row r="392" spans="3:7" ht="15.75" customHeight="1" x14ac:dyDescent="0.25">
      <c r="C392"/>
      <c r="E392" s="13"/>
      <c r="F392" s="13"/>
      <c r="G392" s="13"/>
    </row>
    <row r="393" spans="3:7" ht="15.75" customHeight="1" x14ac:dyDescent="0.25">
      <c r="C393"/>
      <c r="E393" s="13"/>
      <c r="F393" s="13"/>
      <c r="G393" s="13"/>
    </row>
    <row r="394" spans="3:7" ht="15.75" customHeight="1" x14ac:dyDescent="0.25">
      <c r="C394"/>
      <c r="E394" s="13"/>
      <c r="F394" s="13"/>
      <c r="G394" s="13"/>
    </row>
    <row r="395" spans="3:7" ht="15.75" customHeight="1" x14ac:dyDescent="0.25">
      <c r="C395"/>
      <c r="E395" s="13"/>
      <c r="F395" s="13"/>
      <c r="G395" s="13"/>
    </row>
    <row r="396" spans="3:7" ht="15.75" customHeight="1" x14ac:dyDescent="0.25">
      <c r="C396"/>
      <c r="E396" s="13"/>
      <c r="F396" s="13"/>
      <c r="G396" s="13"/>
    </row>
    <row r="397" spans="3:7" ht="15.75" customHeight="1" x14ac:dyDescent="0.25">
      <c r="C397"/>
      <c r="E397" s="13"/>
      <c r="F397" s="13"/>
      <c r="G397" s="13"/>
    </row>
    <row r="398" spans="3:7" ht="15.75" customHeight="1" x14ac:dyDescent="0.25">
      <c r="C398"/>
      <c r="E398" s="13"/>
      <c r="F398" s="13"/>
      <c r="G398" s="13"/>
    </row>
    <row r="399" spans="3:7" ht="15.75" customHeight="1" x14ac:dyDescent="0.25">
      <c r="C399"/>
      <c r="E399" s="13"/>
      <c r="F399" s="13"/>
      <c r="G399" s="13"/>
    </row>
    <row r="400" spans="3:7" ht="15.75" customHeight="1" x14ac:dyDescent="0.25">
      <c r="C400"/>
      <c r="E400" s="13"/>
      <c r="F400" s="13"/>
      <c r="G400" s="13"/>
    </row>
    <row r="401" spans="3:7" ht="15.75" customHeight="1" x14ac:dyDescent="0.25">
      <c r="C401"/>
      <c r="E401" s="13"/>
      <c r="F401" s="13"/>
      <c r="G401" s="13"/>
    </row>
    <row r="402" spans="3:7" ht="15.75" customHeight="1" x14ac:dyDescent="0.25">
      <c r="C402"/>
      <c r="E402" s="13"/>
      <c r="F402" s="13"/>
      <c r="G402" s="13"/>
    </row>
    <row r="403" spans="3:7" ht="15.75" customHeight="1" x14ac:dyDescent="0.25">
      <c r="C403"/>
      <c r="E403" s="13"/>
      <c r="F403" s="13"/>
      <c r="G403" s="13"/>
    </row>
    <row r="404" spans="3:7" ht="15.75" customHeight="1" x14ac:dyDescent="0.25">
      <c r="C404"/>
      <c r="E404" s="13"/>
      <c r="F404" s="13"/>
      <c r="G404" s="13"/>
    </row>
    <row r="405" spans="3:7" ht="15.75" customHeight="1" x14ac:dyDescent="0.25">
      <c r="C405"/>
      <c r="E405" s="13"/>
      <c r="F405" s="13"/>
      <c r="G405" s="13"/>
    </row>
    <row r="406" spans="3:7" ht="15.75" customHeight="1" x14ac:dyDescent="0.25">
      <c r="C406"/>
      <c r="E406" s="13"/>
      <c r="F406" s="13"/>
      <c r="G406" s="13"/>
    </row>
    <row r="407" spans="3:7" ht="15.75" customHeight="1" x14ac:dyDescent="0.25">
      <c r="C407"/>
      <c r="E407" s="13"/>
      <c r="F407" s="13"/>
      <c r="G407" s="13"/>
    </row>
    <row r="408" spans="3:7" ht="15.75" customHeight="1" x14ac:dyDescent="0.25">
      <c r="C408"/>
      <c r="E408" s="13"/>
      <c r="F408" s="13"/>
      <c r="G408" s="13"/>
    </row>
    <row r="409" spans="3:7" ht="15.75" customHeight="1" x14ac:dyDescent="0.25">
      <c r="C409"/>
      <c r="E409" s="13"/>
      <c r="F409" s="13"/>
      <c r="G409" s="13"/>
    </row>
    <row r="410" spans="3:7" ht="15.75" customHeight="1" x14ac:dyDescent="0.25">
      <c r="C410"/>
      <c r="E410" s="13"/>
      <c r="F410" s="13"/>
      <c r="G410" s="13"/>
    </row>
    <row r="411" spans="3:7" ht="15.75" customHeight="1" x14ac:dyDescent="0.25">
      <c r="C411"/>
      <c r="E411" s="13"/>
      <c r="F411" s="13"/>
      <c r="G411" s="13"/>
    </row>
    <row r="412" spans="3:7" ht="15.75" customHeight="1" x14ac:dyDescent="0.25">
      <c r="C412"/>
      <c r="E412" s="13"/>
      <c r="F412" s="13"/>
      <c r="G412" s="13"/>
    </row>
    <row r="413" spans="3:7" ht="15.75" customHeight="1" x14ac:dyDescent="0.25">
      <c r="C413"/>
      <c r="E413" s="13"/>
      <c r="F413" s="13"/>
      <c r="G413" s="13"/>
    </row>
    <row r="414" spans="3:7" ht="15.75" customHeight="1" x14ac:dyDescent="0.25">
      <c r="C414"/>
      <c r="E414" s="13"/>
      <c r="F414" s="13"/>
      <c r="G414" s="13"/>
    </row>
    <row r="415" spans="3:7" ht="15.75" customHeight="1" x14ac:dyDescent="0.25">
      <c r="C415"/>
      <c r="E415" s="13"/>
      <c r="F415" s="13"/>
      <c r="G415" s="13"/>
    </row>
    <row r="416" spans="3:7" ht="15.75" customHeight="1" x14ac:dyDescent="0.25">
      <c r="C416"/>
      <c r="E416" s="13"/>
      <c r="F416" s="13"/>
      <c r="G416" s="13"/>
    </row>
    <row r="417" spans="3:7" ht="15.75" customHeight="1" x14ac:dyDescent="0.25">
      <c r="C417"/>
      <c r="E417" s="13"/>
      <c r="F417" s="13"/>
      <c r="G417" s="13"/>
    </row>
    <row r="418" spans="3:7" ht="15.75" customHeight="1" x14ac:dyDescent="0.25">
      <c r="C418"/>
      <c r="E418" s="13"/>
      <c r="F418" s="13"/>
      <c r="G418" s="13"/>
    </row>
    <row r="419" spans="3:7" ht="15.75" customHeight="1" x14ac:dyDescent="0.25">
      <c r="C419"/>
      <c r="E419" s="13"/>
      <c r="F419" s="13"/>
      <c r="G419" s="13"/>
    </row>
    <row r="420" spans="3:7" ht="15.75" customHeight="1" x14ac:dyDescent="0.25">
      <c r="C420"/>
      <c r="E420" s="13"/>
      <c r="F420" s="13"/>
      <c r="G420" s="13"/>
    </row>
    <row r="421" spans="3:7" ht="15.75" customHeight="1" x14ac:dyDescent="0.25">
      <c r="C421"/>
      <c r="E421" s="13"/>
      <c r="F421" s="13"/>
      <c r="G421" s="13"/>
    </row>
    <row r="422" spans="3:7" ht="15.75" customHeight="1" x14ac:dyDescent="0.25">
      <c r="C422"/>
      <c r="E422" s="13"/>
      <c r="F422" s="13"/>
      <c r="G422" s="13"/>
    </row>
    <row r="423" spans="3:7" ht="15.75" customHeight="1" x14ac:dyDescent="0.25">
      <c r="C423"/>
      <c r="E423" s="13"/>
      <c r="F423" s="13"/>
      <c r="G423" s="13"/>
    </row>
    <row r="424" spans="3:7" ht="15.75" customHeight="1" x14ac:dyDescent="0.25">
      <c r="C424"/>
      <c r="E424" s="13"/>
      <c r="F424" s="13"/>
      <c r="G424" s="13"/>
    </row>
    <row r="425" spans="3:7" ht="15.75" customHeight="1" x14ac:dyDescent="0.25">
      <c r="C425"/>
      <c r="E425" s="13"/>
      <c r="F425" s="13"/>
      <c r="G425" s="13"/>
    </row>
    <row r="426" spans="3:7" ht="15.75" customHeight="1" x14ac:dyDescent="0.25">
      <c r="C426"/>
      <c r="E426" s="13"/>
      <c r="F426" s="13"/>
      <c r="G426" s="13"/>
    </row>
    <row r="427" spans="3:7" ht="15.75" customHeight="1" x14ac:dyDescent="0.25">
      <c r="C427"/>
      <c r="E427" s="13"/>
      <c r="F427" s="13"/>
      <c r="G427" s="13"/>
    </row>
    <row r="428" spans="3:7" ht="15.75" customHeight="1" x14ac:dyDescent="0.25">
      <c r="C428"/>
      <c r="E428" s="13"/>
      <c r="F428" s="13"/>
      <c r="G428" s="13"/>
    </row>
    <row r="429" spans="3:7" ht="15.75" customHeight="1" x14ac:dyDescent="0.25">
      <c r="C429"/>
      <c r="E429" s="13"/>
      <c r="F429" s="13"/>
      <c r="G429" s="13"/>
    </row>
    <row r="430" spans="3:7" ht="15.75" customHeight="1" x14ac:dyDescent="0.25">
      <c r="C430"/>
      <c r="E430" s="13"/>
      <c r="F430" s="13"/>
      <c r="G430" s="13"/>
    </row>
    <row r="431" spans="3:7" ht="15.75" customHeight="1" x14ac:dyDescent="0.25">
      <c r="C431"/>
      <c r="E431" s="13"/>
      <c r="F431" s="13"/>
      <c r="G431" s="13"/>
    </row>
    <row r="432" spans="3:7" ht="15.75" customHeight="1" x14ac:dyDescent="0.25">
      <c r="C432"/>
      <c r="E432" s="13"/>
      <c r="F432" s="13"/>
      <c r="G432" s="13"/>
    </row>
    <row r="433" spans="3:7" ht="15.75" customHeight="1" x14ac:dyDescent="0.25">
      <c r="C433"/>
      <c r="E433" s="13"/>
      <c r="F433" s="13"/>
      <c r="G433" s="13"/>
    </row>
    <row r="434" spans="3:7" ht="15.75" customHeight="1" x14ac:dyDescent="0.25">
      <c r="C434"/>
      <c r="E434" s="13"/>
      <c r="F434" s="13"/>
      <c r="G434" s="13"/>
    </row>
    <row r="435" spans="3:7" ht="15.75" customHeight="1" x14ac:dyDescent="0.25">
      <c r="C435"/>
      <c r="E435" s="13"/>
      <c r="F435" s="13"/>
      <c r="G435" s="13"/>
    </row>
    <row r="436" spans="3:7" ht="15.75" customHeight="1" x14ac:dyDescent="0.25">
      <c r="C436"/>
      <c r="E436" s="13"/>
      <c r="F436" s="13"/>
      <c r="G436" s="13"/>
    </row>
    <row r="437" spans="3:7" ht="15.75" customHeight="1" x14ac:dyDescent="0.25">
      <c r="C437"/>
      <c r="E437" s="13"/>
      <c r="F437" s="13"/>
      <c r="G437" s="13"/>
    </row>
    <row r="438" spans="3:7" ht="15.75" customHeight="1" x14ac:dyDescent="0.25">
      <c r="C438"/>
      <c r="E438" s="13"/>
      <c r="F438" s="13"/>
      <c r="G438" s="13"/>
    </row>
    <row r="439" spans="3:7" ht="15.75" customHeight="1" x14ac:dyDescent="0.25">
      <c r="C439"/>
      <c r="E439" s="13"/>
      <c r="F439" s="13"/>
      <c r="G439" s="13"/>
    </row>
    <row r="440" spans="3:7" ht="15.75" customHeight="1" x14ac:dyDescent="0.25">
      <c r="C440"/>
      <c r="E440" s="13"/>
      <c r="F440" s="13"/>
      <c r="G440" s="13"/>
    </row>
    <row r="441" spans="3:7" ht="15.75" customHeight="1" x14ac:dyDescent="0.25">
      <c r="C441"/>
      <c r="E441" s="13"/>
      <c r="F441" s="13"/>
      <c r="G441" s="13"/>
    </row>
    <row r="442" spans="3:7" ht="15.75" customHeight="1" x14ac:dyDescent="0.25">
      <c r="C442"/>
      <c r="E442" s="13"/>
      <c r="F442" s="13"/>
      <c r="G442" s="13"/>
    </row>
    <row r="443" spans="3:7" ht="15.75" customHeight="1" x14ac:dyDescent="0.25">
      <c r="C443"/>
      <c r="E443" s="13"/>
      <c r="F443" s="13"/>
      <c r="G443" s="13"/>
    </row>
    <row r="444" spans="3:7" ht="15.75" customHeight="1" x14ac:dyDescent="0.25">
      <c r="C444"/>
      <c r="E444" s="13"/>
      <c r="F444" s="13"/>
      <c r="G444" s="13"/>
    </row>
    <row r="445" spans="3:7" ht="15.75" customHeight="1" x14ac:dyDescent="0.25">
      <c r="C445"/>
      <c r="E445" s="13"/>
      <c r="F445" s="13"/>
      <c r="G445" s="13"/>
    </row>
    <row r="446" spans="3:7" ht="15.75" customHeight="1" x14ac:dyDescent="0.25">
      <c r="C446"/>
      <c r="E446" s="13"/>
      <c r="F446" s="13"/>
      <c r="G446" s="13"/>
    </row>
    <row r="447" spans="3:7" ht="15.75" customHeight="1" x14ac:dyDescent="0.25">
      <c r="C447"/>
      <c r="E447" s="13"/>
      <c r="F447" s="13"/>
      <c r="G447" s="13"/>
    </row>
    <row r="448" spans="3:7" ht="15.75" customHeight="1" x14ac:dyDescent="0.25">
      <c r="C448"/>
      <c r="E448" s="13"/>
      <c r="F448" s="13"/>
      <c r="G448" s="13"/>
    </row>
    <row r="449" spans="3:7" ht="15.75" customHeight="1" x14ac:dyDescent="0.25">
      <c r="C449"/>
      <c r="E449" s="13"/>
      <c r="F449" s="13"/>
      <c r="G449" s="13"/>
    </row>
    <row r="450" spans="3:7" ht="15.75" customHeight="1" x14ac:dyDescent="0.25">
      <c r="C450"/>
      <c r="E450" s="13"/>
      <c r="F450" s="13"/>
      <c r="G450" s="13"/>
    </row>
    <row r="451" spans="3:7" ht="15.75" customHeight="1" x14ac:dyDescent="0.25">
      <c r="C451"/>
      <c r="E451" s="13"/>
      <c r="F451" s="13"/>
      <c r="G451" s="13"/>
    </row>
    <row r="452" spans="3:7" ht="15.75" customHeight="1" x14ac:dyDescent="0.25">
      <c r="C452"/>
      <c r="E452" s="13"/>
      <c r="F452" s="13"/>
      <c r="G452" s="13"/>
    </row>
    <row r="453" spans="3:7" ht="15.75" customHeight="1" x14ac:dyDescent="0.25">
      <c r="C453"/>
      <c r="E453" s="13"/>
      <c r="F453" s="13"/>
      <c r="G453" s="13"/>
    </row>
    <row r="454" spans="3:7" ht="15.75" customHeight="1" x14ac:dyDescent="0.25">
      <c r="C454"/>
      <c r="E454" s="13"/>
      <c r="F454" s="13"/>
      <c r="G454" s="13"/>
    </row>
    <row r="455" spans="3:7" ht="15.75" customHeight="1" x14ac:dyDescent="0.25">
      <c r="C455"/>
      <c r="E455" s="13"/>
      <c r="F455" s="13"/>
      <c r="G455" s="13"/>
    </row>
    <row r="456" spans="3:7" ht="15.75" customHeight="1" x14ac:dyDescent="0.25">
      <c r="C456"/>
      <c r="E456" s="13"/>
      <c r="F456" s="13"/>
      <c r="G456" s="13"/>
    </row>
    <row r="457" spans="3:7" ht="15.75" customHeight="1" x14ac:dyDescent="0.25">
      <c r="C457"/>
      <c r="E457" s="13"/>
      <c r="F457" s="13"/>
      <c r="G457" s="13"/>
    </row>
    <row r="458" spans="3:7" ht="15.75" customHeight="1" x14ac:dyDescent="0.25">
      <c r="C458"/>
      <c r="E458" s="13"/>
      <c r="F458" s="13"/>
      <c r="G458" s="13"/>
    </row>
    <row r="459" spans="3:7" ht="15.75" customHeight="1" x14ac:dyDescent="0.25">
      <c r="C459"/>
      <c r="E459" s="13"/>
      <c r="F459" s="13"/>
      <c r="G459" s="13"/>
    </row>
    <row r="460" spans="3:7" ht="15.75" customHeight="1" x14ac:dyDescent="0.25">
      <c r="C460"/>
      <c r="E460" s="13"/>
      <c r="F460" s="13"/>
      <c r="G460" s="13"/>
    </row>
    <row r="461" spans="3:7" ht="15.75" customHeight="1" x14ac:dyDescent="0.25">
      <c r="C461"/>
      <c r="E461" s="13"/>
      <c r="F461" s="13"/>
      <c r="G461" s="13"/>
    </row>
    <row r="462" spans="3:7" ht="15.75" customHeight="1" x14ac:dyDescent="0.25">
      <c r="C462"/>
      <c r="E462" s="13"/>
      <c r="F462" s="13"/>
      <c r="G462" s="13"/>
    </row>
    <row r="463" spans="3:7" ht="15.75" customHeight="1" x14ac:dyDescent="0.25">
      <c r="C463"/>
      <c r="E463" s="13"/>
      <c r="F463" s="13"/>
      <c r="G463" s="13"/>
    </row>
    <row r="464" spans="3:7" ht="15.75" customHeight="1" x14ac:dyDescent="0.25">
      <c r="C464"/>
      <c r="E464" s="13"/>
      <c r="F464" s="13"/>
      <c r="G464" s="13"/>
    </row>
    <row r="465" spans="3:7" ht="15.75" customHeight="1" x14ac:dyDescent="0.25">
      <c r="C465"/>
      <c r="E465" s="13"/>
      <c r="F465" s="13"/>
      <c r="G465" s="13"/>
    </row>
    <row r="466" spans="3:7" ht="15.75" customHeight="1" x14ac:dyDescent="0.25">
      <c r="C466"/>
      <c r="E466" s="13"/>
      <c r="F466" s="13"/>
      <c r="G466" s="13"/>
    </row>
    <row r="467" spans="3:7" ht="15.75" customHeight="1" x14ac:dyDescent="0.25">
      <c r="C467"/>
      <c r="E467" s="13"/>
      <c r="F467" s="13"/>
      <c r="G467" s="13"/>
    </row>
    <row r="468" spans="3:7" ht="15.75" customHeight="1" x14ac:dyDescent="0.25">
      <c r="C468"/>
      <c r="E468" s="13"/>
      <c r="F468" s="13"/>
      <c r="G468" s="13"/>
    </row>
    <row r="469" spans="3:7" ht="15.75" customHeight="1" x14ac:dyDescent="0.25">
      <c r="C469"/>
      <c r="E469" s="13"/>
      <c r="F469" s="13"/>
      <c r="G469" s="13"/>
    </row>
    <row r="470" spans="3:7" ht="15.75" customHeight="1" x14ac:dyDescent="0.25">
      <c r="C470"/>
      <c r="E470" s="13"/>
      <c r="F470" s="13"/>
      <c r="G470" s="13"/>
    </row>
    <row r="471" spans="3:7" ht="15.75" customHeight="1" x14ac:dyDescent="0.25">
      <c r="C471"/>
      <c r="E471" s="13"/>
      <c r="F471" s="13"/>
      <c r="G471" s="13"/>
    </row>
    <row r="472" spans="3:7" ht="15.75" customHeight="1" x14ac:dyDescent="0.25">
      <c r="C472"/>
      <c r="E472" s="13"/>
      <c r="F472" s="13"/>
      <c r="G472" s="13"/>
    </row>
    <row r="473" spans="3:7" ht="15.75" customHeight="1" x14ac:dyDescent="0.25">
      <c r="C473"/>
      <c r="E473" s="13"/>
      <c r="F473" s="13"/>
      <c r="G473" s="13"/>
    </row>
    <row r="474" spans="3:7" ht="15.75" customHeight="1" x14ac:dyDescent="0.25">
      <c r="C474"/>
      <c r="E474" s="13"/>
      <c r="F474" s="13"/>
      <c r="G474" s="13"/>
    </row>
    <row r="475" spans="3:7" ht="15.75" customHeight="1" x14ac:dyDescent="0.25">
      <c r="C475"/>
      <c r="E475" s="13"/>
      <c r="F475" s="13"/>
      <c r="G475" s="13"/>
    </row>
    <row r="476" spans="3:7" ht="15.75" customHeight="1" x14ac:dyDescent="0.25">
      <c r="C476"/>
      <c r="E476" s="13"/>
      <c r="F476" s="13"/>
      <c r="G476" s="13"/>
    </row>
    <row r="477" spans="3:7" ht="15.75" customHeight="1" x14ac:dyDescent="0.25">
      <c r="C477"/>
      <c r="E477" s="13"/>
      <c r="F477" s="13"/>
      <c r="G477" s="13"/>
    </row>
    <row r="478" spans="3:7" ht="15.75" customHeight="1" x14ac:dyDescent="0.25">
      <c r="C478"/>
      <c r="E478" s="13"/>
      <c r="F478" s="13"/>
      <c r="G478" s="13"/>
    </row>
    <row r="479" spans="3:7" ht="15.75" customHeight="1" x14ac:dyDescent="0.25">
      <c r="C479"/>
      <c r="E479" s="13"/>
      <c r="F479" s="13"/>
      <c r="G479" s="13"/>
    </row>
    <row r="480" spans="3:7" ht="15.75" customHeight="1" x14ac:dyDescent="0.25">
      <c r="C480"/>
      <c r="E480" s="13"/>
      <c r="F480" s="13"/>
      <c r="G480" s="13"/>
    </row>
    <row r="481" spans="3:7" ht="15.75" customHeight="1" x14ac:dyDescent="0.25">
      <c r="C481"/>
      <c r="E481" s="13"/>
      <c r="F481" s="13"/>
      <c r="G481" s="13"/>
    </row>
    <row r="482" spans="3:7" ht="15.75" customHeight="1" x14ac:dyDescent="0.25">
      <c r="C482"/>
      <c r="E482" s="13"/>
      <c r="F482" s="13"/>
      <c r="G482" s="13"/>
    </row>
    <row r="483" spans="3:7" ht="15.75" customHeight="1" x14ac:dyDescent="0.25">
      <c r="C483"/>
      <c r="E483" s="13"/>
      <c r="F483" s="13"/>
      <c r="G483" s="13"/>
    </row>
    <row r="484" spans="3:7" ht="15.75" customHeight="1" x14ac:dyDescent="0.25">
      <c r="C484"/>
      <c r="E484" s="13"/>
      <c r="F484" s="13"/>
      <c r="G484" s="13"/>
    </row>
    <row r="485" spans="3:7" ht="15.75" customHeight="1" x14ac:dyDescent="0.25">
      <c r="C485"/>
      <c r="E485" s="13"/>
      <c r="F485" s="13"/>
      <c r="G485" s="13"/>
    </row>
    <row r="486" spans="3:7" ht="15.75" customHeight="1" x14ac:dyDescent="0.25">
      <c r="C486"/>
      <c r="E486" s="13"/>
      <c r="F486" s="13"/>
      <c r="G486" s="13"/>
    </row>
    <row r="487" spans="3:7" ht="15.75" customHeight="1" x14ac:dyDescent="0.25">
      <c r="C487"/>
      <c r="E487" s="13"/>
      <c r="F487" s="13"/>
      <c r="G487" s="13"/>
    </row>
    <row r="488" spans="3:7" ht="15.75" customHeight="1" x14ac:dyDescent="0.25">
      <c r="C488"/>
      <c r="E488" s="13"/>
      <c r="F488" s="13"/>
      <c r="G488" s="13"/>
    </row>
    <row r="489" spans="3:7" ht="15.75" customHeight="1" x14ac:dyDescent="0.25">
      <c r="C489"/>
      <c r="E489" s="13"/>
      <c r="F489" s="13"/>
      <c r="G489" s="13"/>
    </row>
    <row r="490" spans="3:7" ht="15.75" customHeight="1" x14ac:dyDescent="0.25">
      <c r="C490"/>
      <c r="E490" s="13"/>
      <c r="F490" s="13"/>
      <c r="G490" s="13"/>
    </row>
    <row r="491" spans="3:7" ht="15.75" customHeight="1" x14ac:dyDescent="0.25">
      <c r="C491"/>
      <c r="E491" s="13"/>
      <c r="F491" s="13"/>
      <c r="G491" s="13"/>
    </row>
    <row r="492" spans="3:7" ht="15.75" customHeight="1" x14ac:dyDescent="0.25">
      <c r="C492"/>
      <c r="E492" s="13"/>
      <c r="F492" s="13"/>
      <c r="G492" s="13"/>
    </row>
    <row r="493" spans="3:7" ht="15.75" customHeight="1" x14ac:dyDescent="0.25">
      <c r="C493"/>
      <c r="E493" s="13"/>
      <c r="F493" s="13"/>
      <c r="G493" s="13"/>
    </row>
    <row r="494" spans="3:7" ht="15.75" customHeight="1" x14ac:dyDescent="0.25">
      <c r="C494"/>
      <c r="E494" s="13"/>
      <c r="F494" s="13"/>
      <c r="G494" s="13"/>
    </row>
    <row r="495" spans="3:7" ht="15.75" customHeight="1" x14ac:dyDescent="0.25">
      <c r="C495"/>
      <c r="E495" s="13"/>
      <c r="F495" s="13"/>
      <c r="G495" s="13"/>
    </row>
    <row r="496" spans="3:7" ht="15.75" customHeight="1" x14ac:dyDescent="0.25">
      <c r="C496"/>
      <c r="E496" s="13"/>
      <c r="F496" s="13"/>
      <c r="G496" s="13"/>
    </row>
    <row r="497" spans="3:7" ht="15.75" customHeight="1" x14ac:dyDescent="0.25">
      <c r="C497"/>
      <c r="E497" s="13"/>
      <c r="F497" s="13"/>
      <c r="G497" s="13"/>
    </row>
    <row r="498" spans="3:7" ht="15.75" customHeight="1" x14ac:dyDescent="0.25">
      <c r="C498"/>
      <c r="E498" s="13"/>
      <c r="F498" s="13"/>
      <c r="G498" s="13"/>
    </row>
    <row r="499" spans="3:7" ht="15.75" customHeight="1" x14ac:dyDescent="0.25">
      <c r="C499"/>
      <c r="E499" s="13"/>
      <c r="F499" s="13"/>
      <c r="G499" s="13"/>
    </row>
    <row r="500" spans="3:7" ht="15.75" customHeight="1" x14ac:dyDescent="0.25">
      <c r="C500"/>
      <c r="E500" s="13"/>
      <c r="F500" s="13"/>
      <c r="G500" s="13"/>
    </row>
    <row r="501" spans="3:7" ht="15.75" customHeight="1" x14ac:dyDescent="0.25">
      <c r="C501"/>
      <c r="E501" s="13"/>
      <c r="F501" s="13"/>
      <c r="G501" s="13"/>
    </row>
    <row r="502" spans="3:7" ht="15.75" customHeight="1" x14ac:dyDescent="0.25">
      <c r="C502"/>
      <c r="E502" s="13"/>
      <c r="F502" s="13"/>
      <c r="G502" s="13"/>
    </row>
    <row r="503" spans="3:7" ht="15.75" customHeight="1" x14ac:dyDescent="0.25">
      <c r="C503"/>
      <c r="E503" s="13"/>
      <c r="F503" s="13"/>
      <c r="G503" s="13"/>
    </row>
    <row r="504" spans="3:7" ht="15.75" customHeight="1" x14ac:dyDescent="0.25">
      <c r="C504"/>
      <c r="E504" s="13"/>
      <c r="F504" s="13"/>
      <c r="G504" s="13"/>
    </row>
    <row r="505" spans="3:7" ht="15.75" customHeight="1" x14ac:dyDescent="0.25">
      <c r="C505"/>
      <c r="E505" s="13"/>
      <c r="F505" s="13"/>
      <c r="G505" s="13"/>
    </row>
    <row r="506" spans="3:7" ht="15.75" customHeight="1" x14ac:dyDescent="0.25">
      <c r="C506"/>
      <c r="E506" s="13"/>
      <c r="F506" s="13"/>
      <c r="G506" s="13"/>
    </row>
    <row r="507" spans="3:7" ht="15.75" customHeight="1" x14ac:dyDescent="0.25">
      <c r="C507"/>
      <c r="E507" s="13"/>
      <c r="F507" s="13"/>
      <c r="G507" s="13"/>
    </row>
    <row r="508" spans="3:7" ht="15.75" customHeight="1" x14ac:dyDescent="0.25">
      <c r="C508"/>
      <c r="E508" s="13"/>
      <c r="F508" s="13"/>
      <c r="G508" s="13"/>
    </row>
    <row r="509" spans="3:7" ht="15.75" customHeight="1" x14ac:dyDescent="0.25">
      <c r="C509"/>
      <c r="E509" s="13"/>
      <c r="F509" s="13"/>
      <c r="G509" s="13"/>
    </row>
    <row r="510" spans="3:7" ht="15.75" customHeight="1" x14ac:dyDescent="0.25">
      <c r="C510"/>
      <c r="E510" s="13"/>
      <c r="F510" s="13"/>
      <c r="G510" s="13"/>
    </row>
    <row r="511" spans="3:7" ht="15.75" customHeight="1" x14ac:dyDescent="0.25">
      <c r="C511"/>
      <c r="E511" s="13"/>
      <c r="F511" s="13"/>
      <c r="G511" s="13"/>
    </row>
    <row r="512" spans="3:7" ht="15.75" customHeight="1" x14ac:dyDescent="0.25">
      <c r="C512"/>
      <c r="E512" s="13"/>
      <c r="F512" s="13"/>
      <c r="G512" s="13"/>
    </row>
    <row r="513" spans="3:7" ht="15.75" customHeight="1" x14ac:dyDescent="0.25">
      <c r="C513"/>
      <c r="E513" s="13"/>
      <c r="F513" s="13"/>
      <c r="G513" s="13"/>
    </row>
    <row r="514" spans="3:7" ht="15.75" customHeight="1" x14ac:dyDescent="0.25">
      <c r="C514"/>
      <c r="E514" s="13"/>
      <c r="F514" s="13"/>
      <c r="G514" s="13"/>
    </row>
    <row r="515" spans="3:7" ht="15.75" customHeight="1" x14ac:dyDescent="0.25">
      <c r="C515"/>
      <c r="E515" s="13"/>
      <c r="F515" s="13"/>
      <c r="G515" s="13"/>
    </row>
    <row r="516" spans="3:7" ht="15.75" customHeight="1" x14ac:dyDescent="0.25">
      <c r="C516"/>
      <c r="E516" s="13"/>
      <c r="F516" s="13"/>
      <c r="G516" s="13"/>
    </row>
    <row r="517" spans="3:7" ht="15.75" customHeight="1" x14ac:dyDescent="0.25">
      <c r="C517"/>
      <c r="E517" s="13"/>
      <c r="F517" s="13"/>
      <c r="G517" s="13"/>
    </row>
    <row r="518" spans="3:7" ht="15.75" customHeight="1" x14ac:dyDescent="0.25">
      <c r="C518"/>
      <c r="E518" s="13"/>
      <c r="F518" s="13"/>
      <c r="G518" s="13"/>
    </row>
    <row r="519" spans="3:7" ht="15.75" customHeight="1" x14ac:dyDescent="0.25">
      <c r="C519"/>
      <c r="E519" s="13"/>
      <c r="F519" s="13"/>
      <c r="G519" s="13"/>
    </row>
    <row r="520" spans="3:7" ht="15.75" customHeight="1" x14ac:dyDescent="0.25">
      <c r="C520"/>
      <c r="E520" s="13"/>
      <c r="F520" s="13"/>
      <c r="G520" s="13"/>
    </row>
    <row r="521" spans="3:7" ht="15.75" customHeight="1" x14ac:dyDescent="0.25">
      <c r="C521"/>
      <c r="E521" s="13"/>
      <c r="F521" s="13"/>
      <c r="G521" s="13"/>
    </row>
    <row r="522" spans="3:7" ht="15.75" customHeight="1" x14ac:dyDescent="0.25">
      <c r="C522"/>
      <c r="E522" s="13"/>
      <c r="F522" s="13"/>
      <c r="G522" s="13"/>
    </row>
    <row r="523" spans="3:7" ht="15.75" customHeight="1" x14ac:dyDescent="0.25">
      <c r="C523"/>
      <c r="E523" s="13"/>
      <c r="F523" s="13"/>
      <c r="G523" s="13"/>
    </row>
    <row r="524" spans="3:7" ht="15.75" customHeight="1" x14ac:dyDescent="0.25">
      <c r="C524"/>
      <c r="E524" s="13"/>
      <c r="F524" s="13"/>
      <c r="G524" s="13"/>
    </row>
    <row r="525" spans="3:7" ht="15.75" customHeight="1" x14ac:dyDescent="0.25">
      <c r="C525"/>
      <c r="E525" s="13"/>
      <c r="F525" s="13"/>
      <c r="G525" s="13"/>
    </row>
    <row r="526" spans="3:7" ht="15.75" customHeight="1" x14ac:dyDescent="0.25">
      <c r="C526"/>
      <c r="E526" s="13"/>
      <c r="F526" s="13"/>
      <c r="G526" s="13"/>
    </row>
    <row r="527" spans="3:7" ht="15.75" customHeight="1" x14ac:dyDescent="0.25">
      <c r="C527"/>
      <c r="E527" s="13"/>
      <c r="F527" s="13"/>
      <c r="G527" s="13"/>
    </row>
    <row r="528" spans="3:7" ht="15.75" customHeight="1" x14ac:dyDescent="0.25">
      <c r="C528"/>
      <c r="E528" s="13"/>
      <c r="F528" s="13"/>
      <c r="G528" s="13"/>
    </row>
    <row r="529" spans="3:7" ht="15.75" customHeight="1" x14ac:dyDescent="0.25">
      <c r="C529"/>
      <c r="E529" s="13"/>
      <c r="F529" s="13"/>
      <c r="G529" s="13"/>
    </row>
    <row r="530" spans="3:7" ht="15.75" customHeight="1" x14ac:dyDescent="0.25">
      <c r="C530"/>
      <c r="E530" s="13"/>
      <c r="F530" s="13"/>
      <c r="G530" s="13"/>
    </row>
    <row r="531" spans="3:7" ht="15.75" customHeight="1" x14ac:dyDescent="0.25">
      <c r="C531"/>
      <c r="E531" s="13"/>
      <c r="F531" s="13"/>
      <c r="G531" s="13"/>
    </row>
    <row r="532" spans="3:7" ht="15.75" customHeight="1" x14ac:dyDescent="0.25">
      <c r="C532"/>
      <c r="E532" s="13"/>
      <c r="F532" s="13"/>
      <c r="G532" s="13"/>
    </row>
    <row r="533" spans="3:7" ht="15.75" customHeight="1" x14ac:dyDescent="0.25">
      <c r="C533"/>
      <c r="E533" s="13"/>
      <c r="F533" s="13"/>
      <c r="G533" s="13"/>
    </row>
    <row r="534" spans="3:7" ht="15.75" customHeight="1" x14ac:dyDescent="0.25">
      <c r="C534"/>
      <c r="E534" s="13"/>
      <c r="F534" s="13"/>
      <c r="G534" s="13"/>
    </row>
    <row r="535" spans="3:7" ht="15.75" customHeight="1" x14ac:dyDescent="0.25">
      <c r="C535"/>
      <c r="E535" s="13"/>
      <c r="F535" s="13"/>
      <c r="G535" s="13"/>
    </row>
    <row r="536" spans="3:7" ht="15.75" customHeight="1" x14ac:dyDescent="0.25">
      <c r="C536"/>
      <c r="E536" s="13"/>
      <c r="F536" s="13"/>
      <c r="G536" s="13"/>
    </row>
    <row r="537" spans="3:7" ht="15.75" customHeight="1" x14ac:dyDescent="0.25">
      <c r="C537"/>
      <c r="E537" s="13"/>
      <c r="F537" s="13"/>
      <c r="G537" s="13"/>
    </row>
    <row r="538" spans="3:7" ht="15.75" customHeight="1" x14ac:dyDescent="0.25">
      <c r="C538"/>
      <c r="E538" s="13"/>
      <c r="F538" s="13"/>
      <c r="G538" s="13"/>
    </row>
    <row r="539" spans="3:7" ht="15.75" customHeight="1" x14ac:dyDescent="0.25">
      <c r="C539"/>
      <c r="E539" s="13"/>
      <c r="F539" s="13"/>
      <c r="G539" s="13"/>
    </row>
    <row r="540" spans="3:7" ht="15.75" customHeight="1" x14ac:dyDescent="0.25">
      <c r="C540"/>
      <c r="E540" s="13"/>
      <c r="F540" s="13"/>
      <c r="G540" s="13"/>
    </row>
    <row r="541" spans="3:7" ht="15.75" customHeight="1" x14ac:dyDescent="0.25">
      <c r="C541"/>
      <c r="E541" s="13"/>
      <c r="F541" s="13"/>
      <c r="G541" s="13"/>
    </row>
    <row r="542" spans="3:7" ht="15.75" customHeight="1" x14ac:dyDescent="0.25">
      <c r="C542"/>
      <c r="E542" s="13"/>
      <c r="F542" s="13"/>
      <c r="G542" s="13"/>
    </row>
    <row r="543" spans="3:7" ht="15.75" customHeight="1" x14ac:dyDescent="0.25">
      <c r="C543"/>
      <c r="E543" s="13"/>
      <c r="F543" s="13"/>
      <c r="G543" s="13"/>
    </row>
    <row r="544" spans="3:7" ht="15.75" customHeight="1" x14ac:dyDescent="0.25">
      <c r="C544"/>
      <c r="E544" s="13"/>
      <c r="F544" s="13"/>
      <c r="G544" s="13"/>
    </row>
    <row r="545" spans="3:7" ht="15.75" customHeight="1" x14ac:dyDescent="0.25">
      <c r="C545"/>
      <c r="E545" s="13"/>
      <c r="F545" s="13"/>
      <c r="G545" s="13"/>
    </row>
    <row r="546" spans="3:7" ht="15.75" customHeight="1" x14ac:dyDescent="0.25">
      <c r="C546"/>
      <c r="E546" s="13"/>
      <c r="F546" s="13"/>
      <c r="G546" s="13"/>
    </row>
    <row r="547" spans="3:7" ht="15.75" customHeight="1" x14ac:dyDescent="0.25">
      <c r="C547"/>
      <c r="E547" s="13"/>
      <c r="F547" s="13"/>
      <c r="G547" s="13"/>
    </row>
    <row r="548" spans="3:7" ht="15.75" customHeight="1" x14ac:dyDescent="0.25">
      <c r="C548"/>
      <c r="E548" s="13"/>
      <c r="F548" s="13"/>
      <c r="G548" s="13"/>
    </row>
    <row r="549" spans="3:7" ht="15.75" customHeight="1" x14ac:dyDescent="0.25">
      <c r="C549"/>
      <c r="E549" s="13"/>
      <c r="F549" s="13"/>
      <c r="G549" s="13"/>
    </row>
    <row r="550" spans="3:7" ht="15.75" customHeight="1" x14ac:dyDescent="0.25">
      <c r="C550"/>
      <c r="E550" s="13"/>
      <c r="F550" s="13"/>
      <c r="G550" s="13"/>
    </row>
    <row r="551" spans="3:7" ht="15.75" customHeight="1" x14ac:dyDescent="0.25">
      <c r="C551"/>
      <c r="E551" s="13"/>
      <c r="F551" s="13"/>
      <c r="G551" s="13"/>
    </row>
    <row r="552" spans="3:7" ht="15.75" customHeight="1" x14ac:dyDescent="0.25">
      <c r="C552"/>
      <c r="E552" s="13"/>
      <c r="F552" s="13"/>
      <c r="G552" s="13"/>
    </row>
    <row r="553" spans="3:7" ht="15.75" customHeight="1" x14ac:dyDescent="0.25">
      <c r="C553"/>
      <c r="E553" s="13"/>
      <c r="F553" s="13"/>
      <c r="G553" s="13"/>
    </row>
    <row r="554" spans="3:7" ht="15.75" customHeight="1" x14ac:dyDescent="0.25">
      <c r="C554"/>
      <c r="E554" s="13"/>
      <c r="F554" s="13"/>
      <c r="G554" s="13"/>
    </row>
    <row r="555" spans="3:7" ht="15.75" customHeight="1" x14ac:dyDescent="0.25">
      <c r="C555"/>
      <c r="E555" s="13"/>
      <c r="F555" s="13"/>
      <c r="G555" s="13"/>
    </row>
    <row r="556" spans="3:7" ht="15.75" customHeight="1" x14ac:dyDescent="0.25">
      <c r="C556"/>
      <c r="E556" s="13"/>
      <c r="F556" s="13"/>
      <c r="G556" s="13"/>
    </row>
    <row r="557" spans="3:7" ht="15.75" customHeight="1" x14ac:dyDescent="0.25">
      <c r="C557"/>
      <c r="E557" s="13"/>
      <c r="F557" s="13"/>
      <c r="G557" s="13"/>
    </row>
    <row r="558" spans="3:7" ht="15.75" customHeight="1" x14ac:dyDescent="0.25">
      <c r="C558"/>
      <c r="E558" s="13"/>
      <c r="F558" s="13"/>
      <c r="G558" s="13"/>
    </row>
    <row r="559" spans="3:7" ht="15.75" customHeight="1" x14ac:dyDescent="0.25">
      <c r="C559"/>
      <c r="E559" s="13"/>
      <c r="F559" s="13"/>
      <c r="G559" s="13"/>
    </row>
    <row r="560" spans="3:7" ht="15.75" customHeight="1" x14ac:dyDescent="0.25">
      <c r="C560"/>
      <c r="E560" s="13"/>
      <c r="F560" s="13"/>
      <c r="G560" s="13"/>
    </row>
    <row r="561" spans="3:7" ht="15.75" customHeight="1" x14ac:dyDescent="0.25">
      <c r="C561"/>
      <c r="E561" s="13"/>
      <c r="F561" s="13"/>
      <c r="G561" s="13"/>
    </row>
    <row r="562" spans="3:7" ht="15.75" customHeight="1" x14ac:dyDescent="0.25">
      <c r="C562"/>
      <c r="E562" s="13"/>
      <c r="F562" s="13"/>
      <c r="G562" s="13"/>
    </row>
    <row r="563" spans="3:7" ht="15.75" customHeight="1" x14ac:dyDescent="0.25">
      <c r="C563"/>
      <c r="E563" s="13"/>
      <c r="F563" s="13"/>
      <c r="G563" s="13"/>
    </row>
    <row r="564" spans="3:7" ht="15.75" customHeight="1" x14ac:dyDescent="0.25">
      <c r="C564"/>
      <c r="E564" s="13"/>
      <c r="F564" s="13"/>
      <c r="G564" s="13"/>
    </row>
    <row r="565" spans="3:7" ht="15.75" customHeight="1" x14ac:dyDescent="0.25">
      <c r="C565"/>
      <c r="E565" s="13"/>
      <c r="F565" s="13"/>
      <c r="G565" s="13"/>
    </row>
    <row r="566" spans="3:7" ht="15.75" customHeight="1" x14ac:dyDescent="0.25">
      <c r="C566"/>
      <c r="E566" s="13"/>
      <c r="F566" s="13"/>
      <c r="G566" s="13"/>
    </row>
    <row r="567" spans="3:7" ht="15.75" customHeight="1" x14ac:dyDescent="0.25">
      <c r="C567"/>
      <c r="E567" s="13"/>
      <c r="F567" s="13"/>
      <c r="G567" s="13"/>
    </row>
    <row r="568" spans="3:7" ht="15.75" customHeight="1" x14ac:dyDescent="0.25">
      <c r="C568"/>
      <c r="E568" s="13"/>
      <c r="F568" s="13"/>
      <c r="G568" s="13"/>
    </row>
    <row r="569" spans="3:7" ht="15.75" customHeight="1" x14ac:dyDescent="0.25">
      <c r="C569"/>
      <c r="E569" s="13"/>
      <c r="F569" s="13"/>
      <c r="G569" s="13"/>
    </row>
    <row r="570" spans="3:7" ht="15.75" customHeight="1" x14ac:dyDescent="0.25">
      <c r="C570"/>
      <c r="E570" s="13"/>
      <c r="F570" s="13"/>
      <c r="G570" s="13"/>
    </row>
    <row r="571" spans="3:7" ht="15.75" customHeight="1" x14ac:dyDescent="0.25">
      <c r="C571"/>
      <c r="E571" s="13"/>
      <c r="F571" s="13"/>
      <c r="G571" s="13"/>
    </row>
    <row r="572" spans="3:7" ht="15.75" customHeight="1" x14ac:dyDescent="0.25">
      <c r="C572"/>
      <c r="E572" s="13"/>
      <c r="F572" s="13"/>
      <c r="G572" s="13"/>
    </row>
    <row r="573" spans="3:7" ht="15.75" customHeight="1" x14ac:dyDescent="0.25">
      <c r="C573"/>
      <c r="E573" s="13"/>
      <c r="F573" s="13"/>
      <c r="G573" s="13"/>
    </row>
    <row r="574" spans="3:7" ht="15.75" customHeight="1" x14ac:dyDescent="0.25">
      <c r="C574"/>
      <c r="E574" s="13"/>
      <c r="F574" s="13"/>
      <c r="G574" s="13"/>
    </row>
    <row r="575" spans="3:7" ht="15.75" customHeight="1" x14ac:dyDescent="0.25">
      <c r="C575"/>
      <c r="E575" s="13"/>
      <c r="F575" s="13"/>
      <c r="G575" s="13"/>
    </row>
    <row r="576" spans="3:7" ht="15.75" customHeight="1" x14ac:dyDescent="0.25">
      <c r="C576"/>
      <c r="E576" s="13"/>
      <c r="F576" s="13"/>
      <c r="G576" s="13"/>
    </row>
    <row r="577" spans="3:7" ht="15.75" customHeight="1" x14ac:dyDescent="0.25">
      <c r="C577"/>
      <c r="E577" s="13"/>
      <c r="F577" s="13"/>
      <c r="G577" s="13"/>
    </row>
    <row r="578" spans="3:7" ht="15.75" customHeight="1" x14ac:dyDescent="0.25">
      <c r="C578"/>
      <c r="E578" s="13"/>
      <c r="F578" s="13"/>
      <c r="G578" s="13"/>
    </row>
    <row r="579" spans="3:7" ht="15.75" customHeight="1" x14ac:dyDescent="0.25">
      <c r="C579"/>
      <c r="E579" s="13"/>
      <c r="F579" s="13"/>
      <c r="G579" s="13"/>
    </row>
    <row r="580" spans="3:7" ht="15.75" customHeight="1" x14ac:dyDescent="0.25">
      <c r="C580"/>
      <c r="E580" s="13"/>
      <c r="F580" s="13"/>
      <c r="G580" s="13"/>
    </row>
    <row r="581" spans="3:7" ht="15.75" customHeight="1" x14ac:dyDescent="0.25">
      <c r="C581"/>
      <c r="E581" s="13"/>
      <c r="F581" s="13"/>
      <c r="G581" s="13"/>
    </row>
    <row r="582" spans="3:7" ht="15.75" customHeight="1" x14ac:dyDescent="0.25">
      <c r="C582"/>
      <c r="E582" s="13"/>
      <c r="F582" s="13"/>
      <c r="G582" s="13"/>
    </row>
    <row r="583" spans="3:7" ht="15.75" customHeight="1" x14ac:dyDescent="0.25">
      <c r="C583"/>
      <c r="E583" s="13"/>
      <c r="F583" s="13"/>
      <c r="G583" s="13"/>
    </row>
    <row r="584" spans="3:7" ht="15.75" customHeight="1" x14ac:dyDescent="0.25">
      <c r="C584"/>
      <c r="E584" s="13"/>
      <c r="F584" s="13"/>
      <c r="G584" s="13"/>
    </row>
    <row r="585" spans="3:7" ht="15.75" customHeight="1" x14ac:dyDescent="0.25">
      <c r="C585"/>
      <c r="E585" s="13"/>
      <c r="F585" s="13"/>
      <c r="G585" s="13"/>
    </row>
    <row r="586" spans="3:7" ht="15.75" customHeight="1" x14ac:dyDescent="0.25">
      <c r="C586"/>
      <c r="E586" s="13"/>
      <c r="F586" s="13"/>
      <c r="G586" s="13"/>
    </row>
    <row r="587" spans="3:7" ht="15.75" customHeight="1" x14ac:dyDescent="0.25">
      <c r="C587"/>
      <c r="E587" s="13"/>
      <c r="F587" s="13"/>
      <c r="G587" s="13"/>
    </row>
    <row r="588" spans="3:7" ht="15.75" customHeight="1" x14ac:dyDescent="0.25">
      <c r="C588"/>
      <c r="E588" s="13"/>
      <c r="F588" s="13"/>
      <c r="G588" s="13"/>
    </row>
    <row r="589" spans="3:7" ht="15.75" customHeight="1" x14ac:dyDescent="0.25">
      <c r="C589"/>
      <c r="E589" s="13"/>
      <c r="F589" s="13"/>
      <c r="G589" s="13"/>
    </row>
    <row r="590" spans="3:7" ht="15.75" customHeight="1" x14ac:dyDescent="0.25">
      <c r="C590"/>
      <c r="E590" s="13"/>
      <c r="F590" s="13"/>
      <c r="G590" s="13"/>
    </row>
    <row r="591" spans="3:7" ht="15.75" customHeight="1" x14ac:dyDescent="0.25">
      <c r="C591"/>
      <c r="E591" s="13"/>
      <c r="F591" s="13"/>
      <c r="G591" s="13"/>
    </row>
    <row r="592" spans="3:7" ht="15.75" customHeight="1" x14ac:dyDescent="0.25">
      <c r="C592"/>
      <c r="E592" s="13"/>
      <c r="F592" s="13"/>
      <c r="G592" s="13"/>
    </row>
    <row r="593" spans="3:7" ht="15.75" customHeight="1" x14ac:dyDescent="0.25">
      <c r="C593"/>
      <c r="E593" s="13"/>
      <c r="F593" s="13"/>
      <c r="G593" s="13"/>
    </row>
    <row r="594" spans="3:7" ht="15.75" customHeight="1" x14ac:dyDescent="0.25">
      <c r="C594"/>
      <c r="E594" s="13"/>
      <c r="F594" s="13"/>
      <c r="G594" s="13"/>
    </row>
    <row r="595" spans="3:7" ht="15.75" customHeight="1" x14ac:dyDescent="0.25">
      <c r="C595"/>
      <c r="E595" s="13"/>
      <c r="F595" s="13"/>
      <c r="G595" s="13"/>
    </row>
    <row r="596" spans="3:7" ht="15.75" customHeight="1" x14ac:dyDescent="0.25">
      <c r="C596"/>
      <c r="E596" s="13"/>
      <c r="F596" s="13"/>
      <c r="G596" s="13"/>
    </row>
    <row r="597" spans="3:7" ht="15.75" customHeight="1" x14ac:dyDescent="0.25">
      <c r="C597"/>
      <c r="E597" s="13"/>
      <c r="F597" s="13"/>
      <c r="G597" s="13"/>
    </row>
    <row r="598" spans="3:7" ht="15.75" customHeight="1" x14ac:dyDescent="0.25">
      <c r="C598"/>
      <c r="E598" s="13"/>
      <c r="F598" s="13"/>
      <c r="G598" s="13"/>
    </row>
    <row r="599" spans="3:7" ht="15.75" customHeight="1" x14ac:dyDescent="0.25">
      <c r="C599"/>
      <c r="E599" s="13"/>
      <c r="F599" s="13"/>
      <c r="G599" s="13"/>
    </row>
    <row r="600" spans="3:7" ht="15.75" customHeight="1" x14ac:dyDescent="0.25">
      <c r="C600"/>
      <c r="E600" s="13"/>
      <c r="F600" s="13"/>
      <c r="G600" s="13"/>
    </row>
    <row r="601" spans="3:7" ht="15.75" customHeight="1" x14ac:dyDescent="0.25">
      <c r="C601"/>
      <c r="E601" s="13"/>
      <c r="F601" s="13"/>
      <c r="G601" s="13"/>
    </row>
    <row r="602" spans="3:7" ht="15.75" customHeight="1" x14ac:dyDescent="0.25">
      <c r="C602"/>
      <c r="E602" s="13"/>
      <c r="F602" s="13"/>
      <c r="G602" s="13"/>
    </row>
    <row r="603" spans="3:7" ht="15.75" customHeight="1" x14ac:dyDescent="0.25">
      <c r="C603"/>
      <c r="E603" s="13"/>
      <c r="F603" s="13"/>
      <c r="G603" s="13"/>
    </row>
    <row r="604" spans="3:7" ht="15.75" customHeight="1" x14ac:dyDescent="0.25">
      <c r="C604"/>
      <c r="E604" s="13"/>
      <c r="F604" s="13"/>
      <c r="G604" s="13"/>
    </row>
    <row r="605" spans="3:7" ht="15.75" customHeight="1" x14ac:dyDescent="0.25">
      <c r="C605"/>
      <c r="E605" s="13"/>
      <c r="F605" s="13"/>
      <c r="G605" s="13"/>
    </row>
    <row r="606" spans="3:7" ht="15.75" customHeight="1" x14ac:dyDescent="0.25">
      <c r="C606"/>
      <c r="E606" s="13"/>
      <c r="F606" s="13"/>
      <c r="G606" s="13"/>
    </row>
    <row r="607" spans="3:7" ht="15.75" customHeight="1" x14ac:dyDescent="0.25">
      <c r="C607"/>
      <c r="E607" s="13"/>
      <c r="F607" s="13"/>
      <c r="G607" s="13"/>
    </row>
    <row r="608" spans="3:7" ht="15.75" customHeight="1" x14ac:dyDescent="0.25">
      <c r="C608"/>
      <c r="E608" s="13"/>
      <c r="F608" s="13"/>
      <c r="G608" s="13"/>
    </row>
    <row r="609" spans="3:7" ht="15.75" customHeight="1" x14ac:dyDescent="0.25">
      <c r="C609"/>
      <c r="E609" s="13"/>
      <c r="F609" s="13"/>
      <c r="G609" s="13"/>
    </row>
    <row r="610" spans="3:7" ht="15.75" customHeight="1" x14ac:dyDescent="0.25">
      <c r="C610"/>
      <c r="E610" s="13"/>
      <c r="F610" s="13"/>
      <c r="G610" s="13"/>
    </row>
    <row r="611" spans="3:7" ht="15.75" customHeight="1" x14ac:dyDescent="0.25">
      <c r="C611"/>
      <c r="E611" s="13"/>
      <c r="F611" s="13"/>
      <c r="G611" s="13"/>
    </row>
    <row r="612" spans="3:7" ht="15.75" customHeight="1" x14ac:dyDescent="0.25">
      <c r="C612"/>
      <c r="E612" s="13"/>
      <c r="F612" s="13"/>
      <c r="G612" s="13"/>
    </row>
    <row r="613" spans="3:7" ht="15.75" customHeight="1" x14ac:dyDescent="0.25">
      <c r="C613"/>
      <c r="E613" s="13"/>
      <c r="F613" s="13"/>
      <c r="G613" s="13"/>
    </row>
    <row r="614" spans="3:7" ht="15.75" customHeight="1" x14ac:dyDescent="0.25">
      <c r="C614"/>
      <c r="E614" s="13"/>
      <c r="F614" s="13"/>
      <c r="G614" s="13"/>
    </row>
    <row r="615" spans="3:7" ht="15.75" customHeight="1" x14ac:dyDescent="0.25">
      <c r="C615"/>
      <c r="E615" s="13"/>
      <c r="F615" s="13"/>
      <c r="G615" s="13"/>
    </row>
    <row r="616" spans="3:7" ht="15.75" customHeight="1" x14ac:dyDescent="0.25">
      <c r="C616"/>
      <c r="E616" s="13"/>
      <c r="F616" s="13"/>
      <c r="G616" s="13"/>
    </row>
    <row r="617" spans="3:7" ht="15.75" customHeight="1" x14ac:dyDescent="0.25">
      <c r="C617"/>
      <c r="E617" s="13"/>
      <c r="F617" s="13"/>
      <c r="G617" s="13"/>
    </row>
    <row r="618" spans="3:7" ht="15.75" customHeight="1" x14ac:dyDescent="0.25">
      <c r="C618"/>
      <c r="E618" s="13"/>
      <c r="F618" s="13"/>
      <c r="G618" s="13"/>
    </row>
    <row r="619" spans="3:7" ht="15.75" customHeight="1" x14ac:dyDescent="0.25">
      <c r="C619"/>
      <c r="E619" s="13"/>
      <c r="F619" s="13"/>
      <c r="G619" s="13"/>
    </row>
    <row r="620" spans="3:7" ht="15.75" customHeight="1" x14ac:dyDescent="0.25">
      <c r="C620"/>
      <c r="E620" s="13"/>
      <c r="F620" s="13"/>
      <c r="G620" s="13"/>
    </row>
    <row r="621" spans="3:7" ht="15.75" customHeight="1" x14ac:dyDescent="0.25">
      <c r="C621"/>
      <c r="E621" s="13"/>
      <c r="F621" s="13"/>
      <c r="G621" s="13"/>
    </row>
    <row r="622" spans="3:7" ht="15.75" customHeight="1" x14ac:dyDescent="0.25">
      <c r="C622"/>
      <c r="E622" s="13"/>
      <c r="F622" s="13"/>
      <c r="G622" s="13"/>
    </row>
    <row r="623" spans="3:7" ht="15.75" customHeight="1" x14ac:dyDescent="0.25">
      <c r="C623"/>
      <c r="E623" s="13"/>
      <c r="F623" s="13"/>
      <c r="G623" s="13"/>
    </row>
    <row r="624" spans="3:7" ht="15.75" customHeight="1" x14ac:dyDescent="0.25">
      <c r="C624"/>
      <c r="E624" s="13"/>
      <c r="F624" s="13"/>
      <c r="G624" s="13"/>
    </row>
    <row r="625" spans="3:7" ht="15.75" customHeight="1" x14ac:dyDescent="0.25">
      <c r="C625"/>
      <c r="E625" s="13"/>
      <c r="F625" s="13"/>
      <c r="G625" s="13"/>
    </row>
    <row r="626" spans="3:7" ht="15.75" customHeight="1" x14ac:dyDescent="0.25">
      <c r="C626"/>
      <c r="E626" s="13"/>
      <c r="F626" s="13"/>
      <c r="G626" s="13"/>
    </row>
    <row r="627" spans="3:7" ht="15.75" customHeight="1" x14ac:dyDescent="0.25">
      <c r="C627"/>
      <c r="E627" s="13"/>
      <c r="F627" s="13"/>
      <c r="G627" s="13"/>
    </row>
    <row r="628" spans="3:7" ht="15.75" customHeight="1" x14ac:dyDescent="0.25">
      <c r="C628"/>
      <c r="E628" s="13"/>
      <c r="F628" s="13"/>
      <c r="G628" s="13"/>
    </row>
    <row r="629" spans="3:7" ht="15.75" customHeight="1" x14ac:dyDescent="0.25">
      <c r="C629"/>
      <c r="E629" s="13"/>
      <c r="F629" s="13"/>
      <c r="G629" s="13"/>
    </row>
    <row r="630" spans="3:7" ht="15.75" customHeight="1" x14ac:dyDescent="0.25">
      <c r="C630"/>
      <c r="E630" s="13"/>
      <c r="F630" s="13"/>
      <c r="G630" s="13"/>
    </row>
    <row r="631" spans="3:7" ht="15.75" customHeight="1" x14ac:dyDescent="0.25">
      <c r="C631"/>
      <c r="E631" s="13"/>
      <c r="F631" s="13"/>
      <c r="G631" s="13"/>
    </row>
    <row r="632" spans="3:7" ht="15.75" customHeight="1" x14ac:dyDescent="0.25">
      <c r="C632"/>
      <c r="E632" s="13"/>
      <c r="F632" s="13"/>
      <c r="G632" s="13"/>
    </row>
    <row r="633" spans="3:7" ht="15.75" customHeight="1" x14ac:dyDescent="0.25">
      <c r="C633"/>
      <c r="E633" s="13"/>
      <c r="F633" s="13"/>
      <c r="G633" s="13"/>
    </row>
    <row r="634" spans="3:7" ht="15.75" customHeight="1" x14ac:dyDescent="0.25">
      <c r="C634"/>
      <c r="E634" s="13"/>
      <c r="F634" s="13"/>
      <c r="G634" s="13"/>
    </row>
    <row r="635" spans="3:7" ht="15.75" customHeight="1" x14ac:dyDescent="0.25">
      <c r="C635"/>
      <c r="E635" s="13"/>
      <c r="F635" s="13"/>
      <c r="G635" s="13"/>
    </row>
    <row r="636" spans="3:7" ht="15.75" customHeight="1" x14ac:dyDescent="0.25">
      <c r="C636"/>
      <c r="E636" s="13"/>
      <c r="F636" s="13"/>
      <c r="G636" s="13"/>
    </row>
    <row r="637" spans="3:7" ht="15.75" customHeight="1" x14ac:dyDescent="0.25">
      <c r="C637"/>
      <c r="E637" s="13"/>
      <c r="F637" s="13"/>
      <c r="G637" s="13"/>
    </row>
    <row r="638" spans="3:7" ht="15.75" customHeight="1" x14ac:dyDescent="0.25">
      <c r="C638"/>
      <c r="E638" s="13"/>
      <c r="F638" s="13"/>
      <c r="G638" s="13"/>
    </row>
    <row r="639" spans="3:7" ht="15.75" customHeight="1" x14ac:dyDescent="0.25">
      <c r="C639"/>
      <c r="E639" s="13"/>
      <c r="F639" s="13"/>
      <c r="G639" s="13"/>
    </row>
    <row r="640" spans="3:7" ht="15.75" customHeight="1" x14ac:dyDescent="0.25">
      <c r="C640"/>
      <c r="E640" s="13"/>
      <c r="F640" s="13"/>
      <c r="G640" s="13"/>
    </row>
    <row r="641" spans="3:7" ht="15.75" customHeight="1" x14ac:dyDescent="0.25">
      <c r="C641"/>
      <c r="E641" s="13"/>
      <c r="F641" s="13"/>
      <c r="G641" s="13"/>
    </row>
    <row r="642" spans="3:7" ht="15.75" customHeight="1" x14ac:dyDescent="0.25">
      <c r="C642"/>
      <c r="E642" s="13"/>
      <c r="F642" s="13"/>
      <c r="G642" s="13"/>
    </row>
    <row r="643" spans="3:7" ht="15.75" customHeight="1" x14ac:dyDescent="0.25">
      <c r="C643"/>
      <c r="E643" s="13"/>
      <c r="F643" s="13"/>
      <c r="G643" s="13"/>
    </row>
    <row r="644" spans="3:7" ht="15.75" customHeight="1" x14ac:dyDescent="0.25">
      <c r="C644"/>
      <c r="E644" s="13"/>
      <c r="F644" s="13"/>
      <c r="G644" s="13"/>
    </row>
    <row r="645" spans="3:7" ht="15.75" customHeight="1" x14ac:dyDescent="0.25">
      <c r="C645"/>
      <c r="E645" s="13"/>
      <c r="F645" s="13"/>
      <c r="G645" s="13"/>
    </row>
    <row r="646" spans="3:7" ht="15.75" customHeight="1" x14ac:dyDescent="0.25">
      <c r="C646"/>
      <c r="E646" s="13"/>
      <c r="F646" s="13"/>
      <c r="G646" s="13"/>
    </row>
    <row r="647" spans="3:7" ht="15.75" customHeight="1" x14ac:dyDescent="0.25">
      <c r="C647"/>
      <c r="E647" s="13"/>
      <c r="F647" s="13"/>
      <c r="G647" s="13"/>
    </row>
    <row r="648" spans="3:7" ht="15.75" customHeight="1" x14ac:dyDescent="0.25">
      <c r="C648"/>
      <c r="E648" s="13"/>
      <c r="F648" s="13"/>
      <c r="G648" s="13"/>
    </row>
    <row r="649" spans="3:7" ht="15.75" customHeight="1" x14ac:dyDescent="0.25">
      <c r="C649"/>
      <c r="E649" s="13"/>
      <c r="F649" s="13"/>
      <c r="G649" s="13"/>
    </row>
    <row r="650" spans="3:7" ht="15.75" customHeight="1" x14ac:dyDescent="0.25">
      <c r="C650"/>
      <c r="E650" s="13"/>
      <c r="F650" s="13"/>
      <c r="G650" s="13"/>
    </row>
    <row r="651" spans="3:7" ht="15.75" customHeight="1" x14ac:dyDescent="0.25">
      <c r="C651"/>
      <c r="E651" s="13"/>
      <c r="F651" s="13"/>
      <c r="G651" s="13"/>
    </row>
    <row r="652" spans="3:7" ht="15.75" customHeight="1" x14ac:dyDescent="0.25">
      <c r="C652"/>
      <c r="E652" s="13"/>
      <c r="F652" s="13"/>
      <c r="G652" s="13"/>
    </row>
    <row r="653" spans="3:7" ht="15.75" customHeight="1" x14ac:dyDescent="0.25">
      <c r="C653"/>
      <c r="E653" s="13"/>
      <c r="F653" s="13"/>
      <c r="G653" s="13"/>
    </row>
    <row r="654" spans="3:7" ht="15.75" customHeight="1" x14ac:dyDescent="0.25">
      <c r="C654"/>
      <c r="E654" s="13"/>
      <c r="F654" s="13"/>
      <c r="G654" s="13"/>
    </row>
    <row r="655" spans="3:7" ht="15.75" customHeight="1" x14ac:dyDescent="0.25">
      <c r="C655"/>
      <c r="E655" s="13"/>
      <c r="F655" s="13"/>
      <c r="G655" s="13"/>
    </row>
    <row r="656" spans="3:7" ht="15.75" customHeight="1" x14ac:dyDescent="0.25">
      <c r="C656"/>
      <c r="E656" s="13"/>
      <c r="F656" s="13"/>
      <c r="G656" s="13"/>
    </row>
    <row r="657" spans="3:7" ht="15.75" customHeight="1" x14ac:dyDescent="0.25">
      <c r="C657"/>
      <c r="E657" s="13"/>
      <c r="F657" s="13"/>
      <c r="G657" s="13"/>
    </row>
    <row r="658" spans="3:7" ht="15.75" customHeight="1" x14ac:dyDescent="0.25">
      <c r="C658"/>
      <c r="E658" s="13"/>
      <c r="F658" s="13"/>
      <c r="G658" s="13"/>
    </row>
    <row r="659" spans="3:7" ht="15.75" customHeight="1" x14ac:dyDescent="0.25">
      <c r="C659"/>
      <c r="E659" s="13"/>
      <c r="F659" s="13"/>
      <c r="G659" s="13"/>
    </row>
    <row r="660" spans="3:7" ht="15.75" customHeight="1" x14ac:dyDescent="0.25">
      <c r="C660"/>
      <c r="E660" s="13"/>
      <c r="F660" s="13"/>
      <c r="G660" s="13"/>
    </row>
    <row r="661" spans="3:7" ht="15.75" customHeight="1" x14ac:dyDescent="0.25">
      <c r="C661"/>
      <c r="E661" s="13"/>
      <c r="F661" s="13"/>
      <c r="G661" s="13"/>
    </row>
    <row r="662" spans="3:7" ht="15.75" customHeight="1" x14ac:dyDescent="0.25">
      <c r="C662"/>
      <c r="E662" s="13"/>
      <c r="F662" s="13"/>
      <c r="G662" s="13"/>
    </row>
    <row r="663" spans="3:7" ht="15.75" customHeight="1" x14ac:dyDescent="0.25">
      <c r="C663"/>
      <c r="E663" s="13"/>
      <c r="F663" s="13"/>
      <c r="G663" s="13"/>
    </row>
    <row r="664" spans="3:7" ht="15.75" customHeight="1" x14ac:dyDescent="0.25">
      <c r="C664"/>
      <c r="E664" s="13"/>
      <c r="F664" s="13"/>
      <c r="G664" s="13"/>
    </row>
    <row r="665" spans="3:7" ht="15.75" customHeight="1" x14ac:dyDescent="0.25">
      <c r="C665"/>
      <c r="E665" s="13"/>
      <c r="F665" s="13"/>
      <c r="G665" s="13"/>
    </row>
    <row r="666" spans="3:7" ht="15.75" customHeight="1" x14ac:dyDescent="0.25">
      <c r="C666"/>
      <c r="E666" s="13"/>
      <c r="F666" s="13"/>
      <c r="G666" s="13"/>
    </row>
    <row r="667" spans="3:7" ht="15.75" customHeight="1" x14ac:dyDescent="0.25">
      <c r="C667"/>
      <c r="E667" s="13"/>
      <c r="F667" s="13"/>
      <c r="G667" s="13"/>
    </row>
    <row r="668" spans="3:7" ht="15.75" customHeight="1" x14ac:dyDescent="0.25">
      <c r="C668"/>
      <c r="E668" s="13"/>
      <c r="F668" s="13"/>
      <c r="G668" s="13"/>
    </row>
    <row r="669" spans="3:7" ht="15.75" customHeight="1" x14ac:dyDescent="0.25">
      <c r="C669"/>
      <c r="E669" s="13"/>
      <c r="F669" s="13"/>
      <c r="G669" s="13"/>
    </row>
    <row r="670" spans="3:7" ht="15.75" customHeight="1" x14ac:dyDescent="0.25">
      <c r="C670"/>
      <c r="E670" s="13"/>
      <c r="F670" s="13"/>
      <c r="G670" s="13"/>
    </row>
    <row r="671" spans="3:7" ht="15.75" customHeight="1" x14ac:dyDescent="0.25">
      <c r="C671"/>
      <c r="E671" s="13"/>
      <c r="F671" s="13"/>
      <c r="G671" s="13"/>
    </row>
    <row r="672" spans="3:7" ht="15.75" customHeight="1" x14ac:dyDescent="0.25">
      <c r="C672"/>
      <c r="E672" s="13"/>
      <c r="F672" s="13"/>
      <c r="G672" s="13"/>
    </row>
    <row r="673" spans="3:7" ht="15.75" customHeight="1" x14ac:dyDescent="0.25">
      <c r="C673"/>
      <c r="E673" s="13"/>
      <c r="F673" s="13"/>
      <c r="G673" s="13"/>
    </row>
    <row r="674" spans="3:7" ht="15.75" customHeight="1" x14ac:dyDescent="0.25">
      <c r="C674"/>
      <c r="E674" s="13"/>
      <c r="F674" s="13"/>
      <c r="G674" s="13"/>
    </row>
    <row r="675" spans="3:7" ht="15.75" customHeight="1" x14ac:dyDescent="0.25">
      <c r="C675"/>
      <c r="E675" s="13"/>
      <c r="F675" s="13"/>
      <c r="G675" s="13"/>
    </row>
    <row r="676" spans="3:7" ht="15.75" customHeight="1" x14ac:dyDescent="0.25">
      <c r="C676"/>
      <c r="E676" s="13"/>
      <c r="F676" s="13"/>
      <c r="G676" s="13"/>
    </row>
    <row r="677" spans="3:7" ht="15.75" customHeight="1" x14ac:dyDescent="0.25">
      <c r="C677"/>
      <c r="E677" s="13"/>
      <c r="F677" s="13"/>
      <c r="G677" s="13"/>
    </row>
    <row r="678" spans="3:7" ht="15.75" customHeight="1" x14ac:dyDescent="0.25">
      <c r="C678"/>
      <c r="E678" s="13"/>
      <c r="F678" s="13"/>
      <c r="G678" s="13"/>
    </row>
    <row r="679" spans="3:7" ht="15.75" customHeight="1" x14ac:dyDescent="0.25">
      <c r="C679"/>
      <c r="E679" s="13"/>
      <c r="F679" s="13"/>
      <c r="G679" s="13"/>
    </row>
    <row r="680" spans="3:7" ht="15.75" customHeight="1" x14ac:dyDescent="0.25">
      <c r="C680"/>
      <c r="E680" s="13"/>
      <c r="F680" s="13"/>
      <c r="G680" s="13"/>
    </row>
    <row r="681" spans="3:7" ht="15.75" customHeight="1" x14ac:dyDescent="0.25">
      <c r="C681"/>
      <c r="E681" s="13"/>
      <c r="F681" s="13"/>
      <c r="G681" s="13"/>
    </row>
    <row r="682" spans="3:7" ht="15.75" customHeight="1" x14ac:dyDescent="0.25">
      <c r="C682"/>
      <c r="E682" s="13"/>
      <c r="F682" s="13"/>
      <c r="G682" s="13"/>
    </row>
    <row r="683" spans="3:7" ht="15.75" customHeight="1" x14ac:dyDescent="0.25">
      <c r="C683"/>
      <c r="E683" s="13"/>
      <c r="F683" s="13"/>
      <c r="G683" s="13"/>
    </row>
    <row r="684" spans="3:7" ht="15.75" customHeight="1" x14ac:dyDescent="0.25">
      <c r="C684"/>
      <c r="E684" s="13"/>
      <c r="F684" s="13"/>
      <c r="G684" s="13"/>
    </row>
    <row r="685" spans="3:7" ht="15.75" customHeight="1" x14ac:dyDescent="0.25">
      <c r="C685"/>
      <c r="E685" s="13"/>
      <c r="F685" s="13"/>
      <c r="G685" s="13"/>
    </row>
    <row r="686" spans="3:7" ht="15.75" customHeight="1" x14ac:dyDescent="0.25">
      <c r="C686"/>
      <c r="E686" s="13"/>
      <c r="F686" s="13"/>
      <c r="G686" s="13"/>
    </row>
    <row r="687" spans="3:7" ht="15.75" customHeight="1" x14ac:dyDescent="0.25">
      <c r="C687"/>
      <c r="E687" s="13"/>
      <c r="F687" s="13"/>
      <c r="G687" s="13"/>
    </row>
    <row r="688" spans="3:7" ht="15.75" customHeight="1" x14ac:dyDescent="0.25">
      <c r="C688"/>
      <c r="E688" s="13"/>
      <c r="F688" s="13"/>
      <c r="G688" s="13"/>
    </row>
    <row r="689" spans="3:7" ht="15.75" customHeight="1" x14ac:dyDescent="0.25">
      <c r="C689"/>
      <c r="E689" s="13"/>
      <c r="F689" s="13"/>
      <c r="G689" s="13"/>
    </row>
    <row r="690" spans="3:7" ht="15.75" customHeight="1" x14ac:dyDescent="0.25">
      <c r="C690"/>
      <c r="E690" s="13"/>
      <c r="F690" s="13"/>
      <c r="G690" s="13"/>
    </row>
    <row r="691" spans="3:7" ht="15.75" customHeight="1" x14ac:dyDescent="0.25">
      <c r="C691"/>
      <c r="E691" s="13"/>
      <c r="F691" s="13"/>
      <c r="G691" s="13"/>
    </row>
    <row r="692" spans="3:7" ht="15.75" customHeight="1" x14ac:dyDescent="0.25">
      <c r="C692"/>
      <c r="E692" s="13"/>
      <c r="F692" s="13"/>
      <c r="G692" s="13"/>
    </row>
    <row r="693" spans="3:7" ht="15.75" customHeight="1" x14ac:dyDescent="0.25">
      <c r="C693"/>
      <c r="E693" s="13"/>
      <c r="F693" s="13"/>
      <c r="G693" s="13"/>
    </row>
    <row r="694" spans="3:7" ht="15.75" customHeight="1" x14ac:dyDescent="0.25">
      <c r="C694"/>
      <c r="E694" s="13"/>
      <c r="F694" s="13"/>
      <c r="G694" s="13"/>
    </row>
    <row r="695" spans="3:7" ht="15.75" customHeight="1" x14ac:dyDescent="0.25">
      <c r="C695"/>
      <c r="E695" s="13"/>
      <c r="F695" s="13"/>
      <c r="G695" s="13"/>
    </row>
    <row r="696" spans="3:7" ht="15.75" customHeight="1" x14ac:dyDescent="0.25">
      <c r="C696"/>
      <c r="E696" s="13"/>
      <c r="F696" s="13"/>
      <c r="G696" s="13"/>
    </row>
    <row r="697" spans="3:7" ht="15.75" customHeight="1" x14ac:dyDescent="0.25">
      <c r="C697"/>
      <c r="E697" s="13"/>
      <c r="F697" s="13"/>
      <c r="G697" s="13"/>
    </row>
    <row r="698" spans="3:7" ht="15.75" customHeight="1" x14ac:dyDescent="0.25">
      <c r="C698"/>
      <c r="E698" s="13"/>
      <c r="F698" s="13"/>
      <c r="G698" s="13"/>
    </row>
    <row r="699" spans="3:7" ht="15.75" customHeight="1" x14ac:dyDescent="0.25">
      <c r="C699"/>
      <c r="E699" s="13"/>
      <c r="F699" s="13"/>
      <c r="G699" s="13"/>
    </row>
    <row r="700" spans="3:7" ht="15.75" customHeight="1" x14ac:dyDescent="0.25">
      <c r="C700"/>
      <c r="E700" s="13"/>
      <c r="F700" s="13"/>
      <c r="G700" s="13"/>
    </row>
    <row r="701" spans="3:7" ht="15.75" customHeight="1" x14ac:dyDescent="0.25">
      <c r="C701"/>
      <c r="E701" s="13"/>
      <c r="F701" s="13"/>
      <c r="G701" s="13"/>
    </row>
    <row r="702" spans="3:7" ht="15.75" customHeight="1" x14ac:dyDescent="0.25">
      <c r="C702"/>
      <c r="E702" s="13"/>
      <c r="F702" s="13"/>
      <c r="G702" s="13"/>
    </row>
    <row r="703" spans="3:7" ht="15.75" customHeight="1" x14ac:dyDescent="0.25">
      <c r="C703"/>
      <c r="E703" s="13"/>
      <c r="F703" s="13"/>
      <c r="G703" s="13"/>
    </row>
    <row r="704" spans="3:7" ht="15.75" customHeight="1" x14ac:dyDescent="0.25">
      <c r="C704"/>
      <c r="E704" s="13"/>
      <c r="F704" s="13"/>
      <c r="G704" s="13"/>
    </row>
    <row r="705" spans="3:7" ht="15.75" customHeight="1" x14ac:dyDescent="0.25">
      <c r="C705"/>
      <c r="E705" s="13"/>
      <c r="F705" s="13"/>
      <c r="G705" s="13"/>
    </row>
    <row r="706" spans="3:7" ht="15.75" customHeight="1" x14ac:dyDescent="0.25">
      <c r="C706"/>
      <c r="E706" s="13"/>
      <c r="F706" s="13"/>
      <c r="G706" s="13"/>
    </row>
    <row r="707" spans="3:7" ht="15.75" customHeight="1" x14ac:dyDescent="0.25">
      <c r="C707"/>
      <c r="E707" s="13"/>
      <c r="F707" s="13"/>
      <c r="G707" s="13"/>
    </row>
    <row r="708" spans="3:7" ht="15.75" customHeight="1" x14ac:dyDescent="0.25">
      <c r="C708"/>
      <c r="E708" s="13"/>
      <c r="F708" s="13"/>
      <c r="G708" s="13"/>
    </row>
    <row r="709" spans="3:7" ht="15.75" customHeight="1" x14ac:dyDescent="0.25">
      <c r="C709"/>
      <c r="E709" s="13"/>
      <c r="F709" s="13"/>
      <c r="G709" s="13"/>
    </row>
    <row r="710" spans="3:7" ht="15.75" customHeight="1" x14ac:dyDescent="0.25">
      <c r="C710"/>
      <c r="E710" s="13"/>
      <c r="F710" s="13"/>
      <c r="G710" s="13"/>
    </row>
    <row r="711" spans="3:7" ht="15.75" customHeight="1" x14ac:dyDescent="0.25">
      <c r="C711"/>
      <c r="E711" s="13"/>
      <c r="F711" s="13"/>
      <c r="G711" s="13"/>
    </row>
    <row r="712" spans="3:7" ht="15.75" customHeight="1" x14ac:dyDescent="0.25">
      <c r="C712"/>
      <c r="E712" s="13"/>
      <c r="F712" s="13"/>
      <c r="G712" s="13"/>
    </row>
    <row r="713" spans="3:7" ht="15.75" customHeight="1" x14ac:dyDescent="0.25">
      <c r="C713"/>
      <c r="E713" s="13"/>
      <c r="F713" s="13"/>
      <c r="G713" s="13"/>
    </row>
    <row r="714" spans="3:7" ht="15.75" customHeight="1" x14ac:dyDescent="0.25">
      <c r="C714"/>
      <c r="E714" s="13"/>
      <c r="F714" s="13"/>
      <c r="G714" s="13"/>
    </row>
    <row r="715" spans="3:7" ht="15.75" customHeight="1" x14ac:dyDescent="0.25">
      <c r="C715"/>
      <c r="E715" s="13"/>
      <c r="F715" s="13"/>
      <c r="G715" s="13"/>
    </row>
    <row r="716" spans="3:7" ht="15.75" customHeight="1" x14ac:dyDescent="0.25">
      <c r="C716"/>
      <c r="E716" s="13"/>
      <c r="F716" s="13"/>
      <c r="G716" s="13"/>
    </row>
    <row r="717" spans="3:7" ht="15.75" customHeight="1" x14ac:dyDescent="0.25">
      <c r="C717"/>
      <c r="E717" s="13"/>
      <c r="F717" s="13"/>
      <c r="G717" s="13"/>
    </row>
    <row r="718" spans="3:7" ht="15.75" customHeight="1" x14ac:dyDescent="0.25">
      <c r="C718"/>
      <c r="E718" s="13"/>
      <c r="F718" s="13"/>
      <c r="G718" s="13"/>
    </row>
    <row r="719" spans="3:7" ht="15.75" customHeight="1" x14ac:dyDescent="0.25">
      <c r="C719"/>
      <c r="E719" s="13"/>
      <c r="F719" s="13"/>
      <c r="G719" s="13"/>
    </row>
    <row r="720" spans="3:7" ht="15.75" customHeight="1" x14ac:dyDescent="0.25">
      <c r="C720"/>
      <c r="E720" s="13"/>
      <c r="F720" s="13"/>
      <c r="G720" s="13"/>
    </row>
    <row r="721" spans="3:7" ht="15.75" customHeight="1" x14ac:dyDescent="0.25">
      <c r="C721"/>
      <c r="E721" s="13"/>
      <c r="F721" s="13"/>
      <c r="G721" s="13"/>
    </row>
    <row r="722" spans="3:7" ht="15.75" customHeight="1" x14ac:dyDescent="0.25">
      <c r="C722"/>
      <c r="E722" s="13"/>
      <c r="F722" s="13"/>
      <c r="G722" s="13"/>
    </row>
    <row r="723" spans="3:7" ht="15.75" customHeight="1" x14ac:dyDescent="0.25">
      <c r="C723"/>
      <c r="E723" s="13"/>
      <c r="F723" s="13"/>
      <c r="G723" s="13"/>
    </row>
    <row r="724" spans="3:7" ht="15.75" customHeight="1" x14ac:dyDescent="0.25">
      <c r="C724"/>
      <c r="E724" s="13"/>
      <c r="F724" s="13"/>
      <c r="G724" s="13"/>
    </row>
    <row r="725" spans="3:7" ht="15.75" customHeight="1" x14ac:dyDescent="0.25">
      <c r="C725"/>
      <c r="E725" s="13"/>
      <c r="F725" s="13"/>
      <c r="G725" s="13"/>
    </row>
    <row r="726" spans="3:7" ht="15.75" customHeight="1" x14ac:dyDescent="0.25">
      <c r="C726"/>
      <c r="E726" s="13"/>
      <c r="F726" s="13"/>
      <c r="G726" s="13"/>
    </row>
    <row r="727" spans="3:7" ht="15.75" customHeight="1" x14ac:dyDescent="0.25">
      <c r="C727"/>
      <c r="E727" s="13"/>
      <c r="F727" s="13"/>
      <c r="G727" s="13"/>
    </row>
    <row r="728" spans="3:7" ht="15.75" customHeight="1" x14ac:dyDescent="0.25">
      <c r="C728"/>
      <c r="E728" s="13"/>
      <c r="F728" s="13"/>
      <c r="G728" s="13"/>
    </row>
    <row r="729" spans="3:7" ht="15.75" customHeight="1" x14ac:dyDescent="0.25">
      <c r="C729"/>
      <c r="E729" s="13"/>
      <c r="F729" s="13"/>
      <c r="G729" s="13"/>
    </row>
    <row r="730" spans="3:7" ht="15.75" customHeight="1" x14ac:dyDescent="0.25">
      <c r="C730"/>
      <c r="E730" s="13"/>
      <c r="F730" s="13"/>
      <c r="G730" s="13"/>
    </row>
    <row r="731" spans="3:7" ht="15.75" customHeight="1" x14ac:dyDescent="0.25">
      <c r="C731"/>
      <c r="E731" s="13"/>
      <c r="F731" s="13"/>
      <c r="G731" s="13"/>
    </row>
    <row r="732" spans="3:7" ht="15.75" customHeight="1" x14ac:dyDescent="0.25">
      <c r="C732"/>
      <c r="E732" s="13"/>
      <c r="F732" s="13"/>
      <c r="G732" s="13"/>
    </row>
    <row r="733" spans="3:7" ht="15.75" customHeight="1" x14ac:dyDescent="0.25">
      <c r="C733" s="60"/>
      <c r="D733" s="13"/>
      <c r="E733" s="13"/>
      <c r="F733" s="13"/>
      <c r="G733" s="13"/>
    </row>
    <row r="734" spans="3:7" ht="15.75" customHeight="1" x14ac:dyDescent="0.25">
      <c r="C734" s="60"/>
      <c r="D734" s="13"/>
      <c r="E734" s="13"/>
      <c r="F734" s="13"/>
      <c r="G734" s="13"/>
    </row>
    <row r="735" spans="3:7" ht="15.75" customHeight="1" x14ac:dyDescent="0.25">
      <c r="C735" s="60"/>
      <c r="D735" s="13"/>
      <c r="E735" s="13"/>
      <c r="F735" s="13"/>
      <c r="G735" s="13"/>
    </row>
    <row r="736" spans="3:7" ht="15.75" customHeight="1" x14ac:dyDescent="0.25">
      <c r="C736" s="60"/>
      <c r="D736" s="13"/>
      <c r="E736" s="13"/>
      <c r="F736" s="13"/>
      <c r="G736" s="13"/>
    </row>
    <row r="737" spans="3:7" ht="15.75" customHeight="1" x14ac:dyDescent="0.25">
      <c r="C737" s="60"/>
      <c r="D737" s="13"/>
      <c r="E737" s="13"/>
      <c r="F737" s="13"/>
      <c r="G737" s="13"/>
    </row>
    <row r="738" spans="3:7" ht="15.75" customHeight="1" x14ac:dyDescent="0.25">
      <c r="C738" s="60"/>
      <c r="D738" s="13"/>
      <c r="E738" s="13"/>
      <c r="F738" s="13"/>
      <c r="G738" s="13"/>
    </row>
    <row r="739" spans="3:7" ht="15.75" customHeight="1" x14ac:dyDescent="0.25">
      <c r="C739" s="60"/>
      <c r="D739" s="13"/>
      <c r="E739" s="13"/>
      <c r="F739" s="13"/>
      <c r="G739" s="13"/>
    </row>
    <row r="740" spans="3:7" ht="15.75" customHeight="1" x14ac:dyDescent="0.25">
      <c r="C740" s="60"/>
      <c r="D740" s="13"/>
      <c r="E740" s="13"/>
      <c r="F740" s="13"/>
      <c r="G740" s="13"/>
    </row>
    <row r="741" spans="3:7" ht="15.75" customHeight="1" x14ac:dyDescent="0.25">
      <c r="C741" s="60"/>
      <c r="D741" s="13"/>
      <c r="E741" s="13"/>
      <c r="F741" s="13"/>
      <c r="G741" s="13"/>
    </row>
    <row r="742" spans="3:7" ht="15.75" customHeight="1" x14ac:dyDescent="0.25">
      <c r="C742" s="60"/>
      <c r="D742" s="13"/>
      <c r="E742" s="13"/>
      <c r="F742" s="13"/>
      <c r="G742" s="13"/>
    </row>
    <row r="743" spans="3:7" ht="15.75" customHeight="1" x14ac:dyDescent="0.25">
      <c r="C743" s="60"/>
      <c r="D743" s="13"/>
      <c r="E743" s="13"/>
      <c r="F743" s="13"/>
      <c r="G743" s="13"/>
    </row>
    <row r="744" spans="3:7" ht="15.75" customHeight="1" x14ac:dyDescent="0.25">
      <c r="C744" s="60"/>
      <c r="D744" s="13"/>
      <c r="E744" s="13"/>
      <c r="F744" s="13"/>
      <c r="G744" s="13"/>
    </row>
    <row r="745" spans="3:7" ht="15.75" customHeight="1" x14ac:dyDescent="0.25">
      <c r="C745" s="60"/>
      <c r="D745" s="13"/>
      <c r="E745" s="13"/>
      <c r="F745" s="13"/>
      <c r="G745" s="13"/>
    </row>
    <row r="746" spans="3:7" ht="15.75" customHeight="1" x14ac:dyDescent="0.25">
      <c r="C746" s="60"/>
      <c r="D746" s="13"/>
      <c r="E746" s="13"/>
      <c r="F746" s="13"/>
      <c r="G746" s="13"/>
    </row>
    <row r="747" spans="3:7" ht="15.75" customHeight="1" x14ac:dyDescent="0.25">
      <c r="C747" s="60"/>
      <c r="D747" s="13"/>
      <c r="E747" s="13"/>
      <c r="F747" s="13"/>
      <c r="G747" s="13"/>
    </row>
    <row r="748" spans="3:7" ht="15.75" customHeight="1" x14ac:dyDescent="0.25">
      <c r="C748" s="60"/>
      <c r="D748" s="13"/>
      <c r="E748" s="13"/>
      <c r="F748" s="13"/>
      <c r="G748" s="13"/>
    </row>
    <row r="749" spans="3:7" ht="15.75" customHeight="1" x14ac:dyDescent="0.25">
      <c r="C749" s="60"/>
      <c r="D749" s="13"/>
      <c r="E749" s="13"/>
      <c r="F749" s="13"/>
      <c r="G749" s="13"/>
    </row>
    <row r="750" spans="3:7" ht="15.75" customHeight="1" x14ac:dyDescent="0.25">
      <c r="C750" s="60"/>
      <c r="D750" s="13"/>
      <c r="E750" s="13"/>
      <c r="F750" s="13"/>
      <c r="G750" s="13"/>
    </row>
    <row r="751" spans="3:7" ht="15.75" customHeight="1" x14ac:dyDescent="0.25">
      <c r="C751" s="60"/>
      <c r="D751" s="13"/>
      <c r="E751" s="13"/>
      <c r="F751" s="13"/>
      <c r="G751" s="13"/>
    </row>
    <row r="752" spans="3:7" ht="15.75" customHeight="1" x14ac:dyDescent="0.25">
      <c r="C752" s="60"/>
      <c r="D752" s="13"/>
      <c r="E752" s="13"/>
      <c r="F752" s="13"/>
      <c r="G752" s="13"/>
    </row>
    <row r="753" spans="3:7" ht="15.75" customHeight="1" x14ac:dyDescent="0.25">
      <c r="C753" s="60"/>
      <c r="D753" s="13"/>
      <c r="E753" s="13"/>
      <c r="F753" s="13"/>
      <c r="G753" s="13"/>
    </row>
    <row r="754" spans="3:7" ht="15.75" customHeight="1" x14ac:dyDescent="0.25">
      <c r="C754" s="60"/>
      <c r="D754" s="13"/>
      <c r="E754" s="13"/>
      <c r="F754" s="13"/>
      <c r="G754" s="13"/>
    </row>
    <row r="755" spans="3:7" ht="15.75" customHeight="1" x14ac:dyDescent="0.25">
      <c r="C755" s="60"/>
      <c r="D755" s="13"/>
      <c r="E755" s="13"/>
      <c r="F755" s="13"/>
      <c r="G755" s="13"/>
    </row>
    <row r="756" spans="3:7" ht="15.75" customHeight="1" x14ac:dyDescent="0.25">
      <c r="C756" s="60"/>
      <c r="D756" s="13"/>
      <c r="E756" s="13"/>
      <c r="F756" s="13"/>
      <c r="G756" s="13"/>
    </row>
    <row r="757" spans="3:7" ht="15.75" customHeight="1" x14ac:dyDescent="0.25">
      <c r="C757" s="60"/>
      <c r="D757" s="13"/>
      <c r="E757" s="13"/>
      <c r="F757" s="13"/>
      <c r="G757" s="13"/>
    </row>
    <row r="758" spans="3:7" ht="15.75" customHeight="1" x14ac:dyDescent="0.25">
      <c r="C758" s="60"/>
      <c r="D758" s="13"/>
      <c r="E758" s="13"/>
      <c r="F758" s="13"/>
      <c r="G758" s="13"/>
    </row>
    <row r="759" spans="3:7" ht="15.75" customHeight="1" x14ac:dyDescent="0.25">
      <c r="C759" s="60"/>
      <c r="D759" s="13"/>
      <c r="E759" s="13"/>
      <c r="F759" s="13"/>
      <c r="G759" s="13"/>
    </row>
    <row r="760" spans="3:7" ht="15.75" customHeight="1" x14ac:dyDescent="0.25">
      <c r="C760" s="60"/>
      <c r="D760" s="13"/>
      <c r="E760" s="13"/>
      <c r="F760" s="13"/>
      <c r="G760" s="13"/>
    </row>
    <row r="761" spans="3:7" ht="15.75" customHeight="1" x14ac:dyDescent="0.25">
      <c r="C761" s="60"/>
      <c r="D761" s="13"/>
      <c r="E761" s="13"/>
      <c r="F761" s="13"/>
      <c r="G761" s="13"/>
    </row>
    <row r="762" spans="3:7" ht="15.75" customHeight="1" x14ac:dyDescent="0.25">
      <c r="C762" s="60"/>
      <c r="D762" s="13"/>
      <c r="E762" s="13"/>
      <c r="F762" s="13"/>
      <c r="G762" s="13"/>
    </row>
    <row r="763" spans="3:7" ht="15.75" customHeight="1" x14ac:dyDescent="0.25">
      <c r="C763" s="60"/>
      <c r="D763" s="13"/>
      <c r="E763" s="13"/>
      <c r="F763" s="13"/>
      <c r="G763" s="13"/>
    </row>
    <row r="764" spans="3:7" ht="15.75" customHeight="1" x14ac:dyDescent="0.25">
      <c r="C764" s="60"/>
      <c r="D764" s="13"/>
      <c r="E764" s="13"/>
      <c r="F764" s="13"/>
      <c r="G764" s="13"/>
    </row>
    <row r="765" spans="3:7" ht="15.75" customHeight="1" x14ac:dyDescent="0.25">
      <c r="C765" s="60"/>
      <c r="D765" s="13"/>
      <c r="E765" s="13"/>
      <c r="F765" s="13"/>
      <c r="G765" s="13"/>
    </row>
    <row r="766" spans="3:7" ht="15.75" customHeight="1" x14ac:dyDescent="0.25">
      <c r="C766" s="60"/>
      <c r="D766" s="13"/>
      <c r="E766" s="13"/>
      <c r="F766" s="13"/>
      <c r="G766" s="13"/>
    </row>
    <row r="767" spans="3:7" ht="15.75" customHeight="1" x14ac:dyDescent="0.25">
      <c r="C767" s="60"/>
      <c r="D767" s="13"/>
      <c r="E767" s="13"/>
      <c r="F767" s="13"/>
      <c r="G767" s="13"/>
    </row>
    <row r="768" spans="3:7" ht="15.75" customHeight="1" x14ac:dyDescent="0.25">
      <c r="C768" s="60"/>
      <c r="D768" s="13"/>
      <c r="E768" s="13"/>
      <c r="F768" s="13"/>
      <c r="G768" s="13"/>
    </row>
    <row r="769" spans="3:7" ht="15.75" customHeight="1" x14ac:dyDescent="0.25">
      <c r="C769" s="60"/>
      <c r="D769" s="13"/>
      <c r="E769" s="13"/>
      <c r="F769" s="13"/>
      <c r="G769" s="13"/>
    </row>
    <row r="770" spans="3:7" ht="15.75" customHeight="1" x14ac:dyDescent="0.25">
      <c r="C770" s="60"/>
      <c r="D770" s="13"/>
      <c r="E770" s="13"/>
      <c r="F770" s="13"/>
      <c r="G770" s="13"/>
    </row>
    <row r="771" spans="3:7" ht="15.75" customHeight="1" x14ac:dyDescent="0.25">
      <c r="C771" s="60"/>
      <c r="D771" s="13"/>
      <c r="E771" s="13"/>
      <c r="F771" s="13"/>
      <c r="G771" s="13"/>
    </row>
    <row r="772" spans="3:7" ht="15.75" customHeight="1" x14ac:dyDescent="0.25">
      <c r="C772" s="60"/>
      <c r="D772" s="13"/>
      <c r="E772" s="13"/>
      <c r="F772" s="13"/>
      <c r="G772" s="13"/>
    </row>
    <row r="773" spans="3:7" ht="15.75" customHeight="1" x14ac:dyDescent="0.25">
      <c r="C773" s="60"/>
      <c r="D773" s="13"/>
      <c r="E773" s="13"/>
      <c r="F773" s="13"/>
      <c r="G773" s="13"/>
    </row>
    <row r="774" spans="3:7" ht="15.75" customHeight="1" x14ac:dyDescent="0.25">
      <c r="C774" s="60"/>
      <c r="D774" s="13"/>
      <c r="E774" s="13"/>
      <c r="F774" s="13"/>
      <c r="G774" s="13"/>
    </row>
    <row r="775" spans="3:7" ht="15.75" customHeight="1" x14ac:dyDescent="0.25">
      <c r="C775" s="60"/>
      <c r="D775" s="13"/>
      <c r="E775" s="13"/>
      <c r="F775" s="13"/>
      <c r="G775" s="13"/>
    </row>
    <row r="776" spans="3:7" ht="15.75" customHeight="1" x14ac:dyDescent="0.25">
      <c r="C776" s="60"/>
      <c r="D776" s="13"/>
      <c r="E776" s="13"/>
      <c r="F776" s="13"/>
      <c r="G776" s="13"/>
    </row>
    <row r="777" spans="3:7" ht="15.75" customHeight="1" x14ac:dyDescent="0.25">
      <c r="C777" s="60"/>
      <c r="D777" s="13"/>
      <c r="E777" s="13"/>
      <c r="F777" s="13"/>
      <c r="G777" s="13"/>
    </row>
    <row r="778" spans="3:7" ht="15.75" customHeight="1" x14ac:dyDescent="0.25">
      <c r="C778" s="60"/>
      <c r="D778" s="13"/>
      <c r="E778" s="13"/>
      <c r="F778" s="13"/>
      <c r="G778" s="13"/>
    </row>
    <row r="779" spans="3:7" ht="15.75" customHeight="1" x14ac:dyDescent="0.25">
      <c r="C779" s="60"/>
      <c r="D779" s="13"/>
      <c r="E779" s="13"/>
      <c r="F779" s="13"/>
      <c r="G779" s="13"/>
    </row>
    <row r="780" spans="3:7" ht="15.75" customHeight="1" x14ac:dyDescent="0.25">
      <c r="C780" s="60"/>
      <c r="D780" s="13"/>
      <c r="E780" s="13"/>
      <c r="F780" s="13"/>
      <c r="G780" s="13"/>
    </row>
    <row r="781" spans="3:7" ht="15.75" customHeight="1" x14ac:dyDescent="0.25">
      <c r="C781" s="60"/>
      <c r="D781" s="13"/>
      <c r="E781" s="13"/>
      <c r="F781" s="13"/>
      <c r="G781" s="13"/>
    </row>
    <row r="782" spans="3:7" ht="15.75" customHeight="1" x14ac:dyDescent="0.25">
      <c r="C782" s="60"/>
      <c r="D782" s="13"/>
      <c r="E782" s="13"/>
      <c r="F782" s="13"/>
      <c r="G782" s="13"/>
    </row>
    <row r="783" spans="3:7" ht="15.75" customHeight="1" x14ac:dyDescent="0.25">
      <c r="C783" s="60"/>
      <c r="D783" s="13"/>
      <c r="E783" s="13"/>
      <c r="F783" s="13"/>
      <c r="G783" s="13"/>
    </row>
    <row r="784" spans="3:7" ht="15.75" customHeight="1" x14ac:dyDescent="0.25">
      <c r="C784" s="60"/>
      <c r="D784" s="13"/>
      <c r="E784" s="13"/>
      <c r="F784" s="13"/>
      <c r="G784" s="13"/>
    </row>
    <row r="785" spans="3:7" ht="15.75" customHeight="1" x14ac:dyDescent="0.25">
      <c r="C785" s="60"/>
      <c r="D785" s="13"/>
      <c r="E785" s="13"/>
      <c r="F785" s="13"/>
      <c r="G785" s="13"/>
    </row>
    <row r="786" spans="3:7" ht="15.75" customHeight="1" x14ac:dyDescent="0.25">
      <c r="C786" s="60"/>
      <c r="D786" s="13"/>
      <c r="E786" s="13"/>
      <c r="F786" s="13"/>
      <c r="G786" s="13"/>
    </row>
    <row r="787" spans="3:7" ht="15.75" customHeight="1" x14ac:dyDescent="0.25">
      <c r="C787" s="60"/>
      <c r="D787" s="13"/>
      <c r="E787" s="13"/>
      <c r="F787" s="13"/>
      <c r="G787" s="13"/>
    </row>
    <row r="788" spans="3:7" ht="15.75" customHeight="1" x14ac:dyDescent="0.25">
      <c r="C788" s="60"/>
      <c r="D788" s="13"/>
      <c r="E788" s="13"/>
      <c r="F788" s="13"/>
      <c r="G788" s="13"/>
    </row>
    <row r="789" spans="3:7" ht="15.75" customHeight="1" x14ac:dyDescent="0.25">
      <c r="C789" s="60"/>
      <c r="D789" s="13"/>
      <c r="E789" s="13"/>
      <c r="F789" s="13"/>
      <c r="G789" s="13"/>
    </row>
    <row r="790" spans="3:7" ht="15.75" customHeight="1" x14ac:dyDescent="0.25">
      <c r="C790" s="60"/>
      <c r="D790" s="13"/>
      <c r="E790" s="13"/>
      <c r="F790" s="13"/>
      <c r="G790" s="13"/>
    </row>
    <row r="791" spans="3:7" ht="15.75" customHeight="1" x14ac:dyDescent="0.25">
      <c r="C791" s="60"/>
      <c r="D791" s="13"/>
      <c r="E791" s="13"/>
      <c r="F791" s="13"/>
      <c r="G791" s="13"/>
    </row>
    <row r="792" spans="3:7" ht="15.75" customHeight="1" x14ac:dyDescent="0.25">
      <c r="C792" s="60"/>
      <c r="D792" s="13"/>
      <c r="E792" s="13"/>
      <c r="F792" s="13"/>
      <c r="G792" s="13"/>
    </row>
    <row r="793" spans="3:7" ht="15.75" customHeight="1" x14ac:dyDescent="0.25">
      <c r="C793" s="60"/>
      <c r="D793" s="13"/>
      <c r="E793" s="13"/>
      <c r="F793" s="13"/>
      <c r="G793" s="13"/>
    </row>
    <row r="794" spans="3:7" ht="15.75" customHeight="1" x14ac:dyDescent="0.25">
      <c r="C794" s="60"/>
      <c r="D794" s="13"/>
      <c r="E794" s="13"/>
      <c r="F794" s="13"/>
      <c r="G794" s="13"/>
    </row>
    <row r="795" spans="3:7" ht="15.75" customHeight="1" x14ac:dyDescent="0.25">
      <c r="C795" s="60"/>
      <c r="D795" s="13"/>
      <c r="E795" s="13"/>
      <c r="F795" s="13"/>
      <c r="G795" s="13"/>
    </row>
    <row r="796" spans="3:7" ht="15.75" customHeight="1" x14ac:dyDescent="0.25">
      <c r="C796" s="60"/>
      <c r="D796" s="13"/>
      <c r="E796" s="13"/>
      <c r="F796" s="13"/>
      <c r="G796" s="13"/>
    </row>
    <row r="797" spans="3:7" ht="15.75" customHeight="1" x14ac:dyDescent="0.25">
      <c r="C797" s="60"/>
      <c r="D797" s="13"/>
      <c r="E797" s="13"/>
      <c r="F797" s="13"/>
      <c r="G797" s="13"/>
    </row>
    <row r="798" spans="3:7" ht="15.75" customHeight="1" x14ac:dyDescent="0.25">
      <c r="C798" s="60"/>
      <c r="D798" s="13"/>
      <c r="E798" s="13"/>
      <c r="F798" s="13"/>
      <c r="G798" s="13"/>
    </row>
    <row r="799" spans="3:7" ht="15.75" customHeight="1" x14ac:dyDescent="0.25">
      <c r="C799" s="60"/>
      <c r="D799" s="13"/>
      <c r="E799" s="13"/>
      <c r="F799" s="13"/>
      <c r="G799" s="13"/>
    </row>
    <row r="800" spans="3:7" ht="15.75" customHeight="1" x14ac:dyDescent="0.25">
      <c r="C800" s="60"/>
      <c r="D800" s="13"/>
      <c r="E800" s="13"/>
      <c r="F800" s="13"/>
      <c r="G800" s="13"/>
    </row>
    <row r="801" spans="3:7" ht="15.75" customHeight="1" x14ac:dyDescent="0.25">
      <c r="C801" s="60"/>
      <c r="D801" s="13"/>
      <c r="E801" s="13"/>
      <c r="F801" s="13"/>
      <c r="G801" s="13"/>
    </row>
    <row r="802" spans="3:7" ht="15.75" customHeight="1" x14ac:dyDescent="0.25">
      <c r="C802" s="60"/>
      <c r="D802" s="13"/>
      <c r="E802" s="13"/>
      <c r="F802" s="13"/>
      <c r="G802" s="13"/>
    </row>
    <row r="803" spans="3:7" ht="15.75" customHeight="1" x14ac:dyDescent="0.25">
      <c r="C803" s="60"/>
      <c r="D803" s="13"/>
      <c r="E803" s="13"/>
      <c r="F803" s="13"/>
      <c r="G803" s="13"/>
    </row>
    <row r="804" spans="3:7" ht="15.75" customHeight="1" x14ac:dyDescent="0.25">
      <c r="C804" s="60"/>
      <c r="D804" s="13"/>
      <c r="E804" s="13"/>
      <c r="F804" s="13"/>
      <c r="G804" s="13"/>
    </row>
    <row r="805" spans="3:7" ht="15.75" customHeight="1" x14ac:dyDescent="0.25">
      <c r="C805" s="60"/>
      <c r="D805" s="13"/>
      <c r="E805" s="13"/>
      <c r="F805" s="13"/>
      <c r="G805" s="13"/>
    </row>
    <row r="806" spans="3:7" ht="15.75" customHeight="1" x14ac:dyDescent="0.25">
      <c r="C806" s="60"/>
      <c r="D806" s="13"/>
      <c r="E806" s="13"/>
      <c r="F806" s="13"/>
      <c r="G806" s="13"/>
    </row>
    <row r="807" spans="3:7" ht="15.75" customHeight="1" x14ac:dyDescent="0.25">
      <c r="C807" s="60"/>
      <c r="D807" s="13"/>
      <c r="E807" s="13"/>
      <c r="F807" s="13"/>
      <c r="G807" s="13"/>
    </row>
    <row r="808" spans="3:7" ht="15.75" customHeight="1" x14ac:dyDescent="0.25">
      <c r="C808" s="60"/>
      <c r="D808" s="13"/>
      <c r="E808" s="13"/>
      <c r="F808" s="13"/>
      <c r="G808" s="13"/>
    </row>
    <row r="809" spans="3:7" ht="15.75" customHeight="1" x14ac:dyDescent="0.25">
      <c r="C809" s="60"/>
      <c r="D809" s="13"/>
      <c r="E809" s="13"/>
      <c r="F809" s="13"/>
      <c r="G809" s="13"/>
    </row>
    <row r="810" spans="3:7" ht="15.75" customHeight="1" x14ac:dyDescent="0.25">
      <c r="C810" s="60"/>
      <c r="D810" s="13"/>
      <c r="E810" s="13"/>
      <c r="F810" s="13"/>
      <c r="G810" s="13"/>
    </row>
    <row r="811" spans="3:7" ht="15.75" customHeight="1" x14ac:dyDescent="0.25">
      <c r="C811" s="60"/>
      <c r="D811" s="13"/>
      <c r="E811" s="13"/>
      <c r="F811" s="13"/>
      <c r="G811" s="13"/>
    </row>
    <row r="812" spans="3:7" ht="15.75" customHeight="1" x14ac:dyDescent="0.25">
      <c r="C812" s="60"/>
      <c r="D812" s="13"/>
      <c r="E812" s="13"/>
      <c r="F812" s="13"/>
      <c r="G812" s="13"/>
    </row>
    <row r="813" spans="3:7" ht="15.75" customHeight="1" x14ac:dyDescent="0.25">
      <c r="C813" s="60"/>
      <c r="D813" s="13"/>
      <c r="E813" s="13"/>
      <c r="F813" s="13"/>
      <c r="G813" s="13"/>
    </row>
    <row r="814" spans="3:7" ht="15.75" customHeight="1" x14ac:dyDescent="0.25">
      <c r="C814" s="60"/>
      <c r="D814" s="13"/>
      <c r="E814" s="13"/>
      <c r="F814" s="13"/>
      <c r="G814" s="13"/>
    </row>
    <row r="815" spans="3:7" ht="15.75" customHeight="1" x14ac:dyDescent="0.25">
      <c r="C815" s="60"/>
      <c r="D815" s="13"/>
      <c r="E815" s="13"/>
      <c r="F815" s="13"/>
      <c r="G815" s="13"/>
    </row>
    <row r="816" spans="3:7" ht="15.75" customHeight="1" x14ac:dyDescent="0.25">
      <c r="C816" s="60"/>
      <c r="D816" s="13"/>
      <c r="E816" s="13"/>
      <c r="F816" s="13"/>
      <c r="G816" s="13"/>
    </row>
    <row r="817" spans="3:7" ht="15.75" customHeight="1" x14ac:dyDescent="0.25">
      <c r="C817" s="60"/>
      <c r="D817" s="13"/>
      <c r="E817" s="13"/>
      <c r="F817" s="13"/>
      <c r="G817" s="13"/>
    </row>
    <row r="818" spans="3:7" ht="15.75" customHeight="1" x14ac:dyDescent="0.25">
      <c r="C818" s="60"/>
      <c r="D818" s="13"/>
      <c r="E818" s="13"/>
      <c r="F818" s="13"/>
      <c r="G818" s="13"/>
    </row>
    <row r="819" spans="3:7" ht="15.75" customHeight="1" x14ac:dyDescent="0.25">
      <c r="C819" s="60"/>
      <c r="D819" s="13"/>
      <c r="E819" s="13"/>
      <c r="F819" s="13"/>
      <c r="G819" s="13"/>
    </row>
    <row r="820" spans="3:7" ht="15.75" customHeight="1" x14ac:dyDescent="0.25">
      <c r="C820" s="60"/>
      <c r="D820" s="13"/>
      <c r="E820" s="13"/>
      <c r="F820" s="13"/>
      <c r="G820" s="13"/>
    </row>
    <row r="821" spans="3:7" ht="15.75" customHeight="1" x14ac:dyDescent="0.25">
      <c r="C821" s="60"/>
      <c r="D821" s="13"/>
      <c r="E821" s="13"/>
      <c r="F821" s="13"/>
      <c r="G821" s="13"/>
    </row>
    <row r="822" spans="3:7" ht="15.75" customHeight="1" x14ac:dyDescent="0.25">
      <c r="C822" s="60"/>
      <c r="D822" s="13"/>
      <c r="E822" s="13"/>
      <c r="F822" s="13"/>
      <c r="G822" s="13"/>
    </row>
    <row r="823" spans="3:7" ht="15.75" customHeight="1" x14ac:dyDescent="0.25">
      <c r="C823" s="60"/>
      <c r="D823" s="13"/>
      <c r="E823" s="13"/>
      <c r="F823" s="13"/>
      <c r="G823" s="13"/>
    </row>
    <row r="824" spans="3:7" ht="15.75" customHeight="1" x14ac:dyDescent="0.25">
      <c r="C824" s="60"/>
      <c r="D824" s="13"/>
      <c r="E824" s="13"/>
      <c r="F824" s="13"/>
      <c r="G824" s="13"/>
    </row>
    <row r="825" spans="3:7" ht="15.75" customHeight="1" x14ac:dyDescent="0.25">
      <c r="C825" s="60"/>
      <c r="D825" s="13"/>
      <c r="E825" s="13"/>
      <c r="F825" s="13"/>
      <c r="G825" s="13"/>
    </row>
    <row r="826" spans="3:7" ht="15.75" customHeight="1" x14ac:dyDescent="0.25">
      <c r="C826" s="60"/>
      <c r="D826" s="13"/>
      <c r="E826" s="13"/>
      <c r="F826" s="13"/>
      <c r="G826" s="13"/>
    </row>
    <row r="827" spans="3:7" ht="15.75" customHeight="1" x14ac:dyDescent="0.25">
      <c r="C827" s="60"/>
      <c r="D827" s="13"/>
      <c r="E827" s="13"/>
      <c r="F827" s="13"/>
      <c r="G827" s="13"/>
    </row>
    <row r="828" spans="3:7" ht="15.75" customHeight="1" x14ac:dyDescent="0.25">
      <c r="C828" s="60"/>
      <c r="D828" s="13"/>
      <c r="E828" s="13"/>
      <c r="F828" s="13"/>
      <c r="G828" s="13"/>
    </row>
    <row r="829" spans="3:7" ht="15.75" customHeight="1" x14ac:dyDescent="0.25">
      <c r="C829" s="60"/>
      <c r="D829" s="13"/>
      <c r="E829" s="13"/>
      <c r="F829" s="13"/>
      <c r="G829" s="13"/>
    </row>
    <row r="830" spans="3:7" ht="15.75" customHeight="1" x14ac:dyDescent="0.25">
      <c r="C830" s="60"/>
      <c r="D830" s="13"/>
      <c r="E830" s="13"/>
      <c r="F830" s="13"/>
      <c r="G830" s="13"/>
    </row>
    <row r="831" spans="3:7" ht="15.75" customHeight="1" x14ac:dyDescent="0.25">
      <c r="C831" s="60"/>
      <c r="D831" s="13"/>
      <c r="E831" s="13"/>
      <c r="F831" s="13"/>
      <c r="G831" s="13"/>
    </row>
    <row r="832" spans="3:7" ht="15.75" customHeight="1" x14ac:dyDescent="0.25">
      <c r="C832" s="60"/>
      <c r="D832" s="13"/>
      <c r="E832" s="13"/>
      <c r="F832" s="13"/>
      <c r="G832" s="13"/>
    </row>
    <row r="833" spans="3:7" ht="15.75" customHeight="1" x14ac:dyDescent="0.25">
      <c r="C833" s="60"/>
      <c r="D833" s="13"/>
      <c r="E833" s="13"/>
      <c r="F833" s="13"/>
      <c r="G833" s="13"/>
    </row>
    <row r="834" spans="3:7" ht="15.75" customHeight="1" x14ac:dyDescent="0.25">
      <c r="C834" s="60"/>
      <c r="D834" s="13"/>
      <c r="E834" s="13"/>
      <c r="F834" s="13"/>
      <c r="G834" s="13"/>
    </row>
    <row r="835" spans="3:7" ht="15.75" customHeight="1" x14ac:dyDescent="0.25">
      <c r="C835" s="60"/>
      <c r="D835" s="13"/>
      <c r="E835" s="13"/>
      <c r="F835" s="13"/>
      <c r="G835" s="13"/>
    </row>
    <row r="836" spans="3:7" ht="15.75" customHeight="1" x14ac:dyDescent="0.25">
      <c r="C836" s="60"/>
      <c r="D836" s="13"/>
      <c r="E836" s="13"/>
      <c r="F836" s="13"/>
      <c r="G836" s="13"/>
    </row>
    <row r="837" spans="3:7" ht="15.75" customHeight="1" x14ac:dyDescent="0.25">
      <c r="C837" s="60"/>
      <c r="D837" s="13"/>
      <c r="E837" s="13"/>
      <c r="F837" s="13"/>
      <c r="G837" s="13"/>
    </row>
    <row r="838" spans="3:7" ht="15.75" customHeight="1" x14ac:dyDescent="0.25">
      <c r="C838" s="60"/>
      <c r="D838" s="13"/>
      <c r="E838" s="13"/>
      <c r="F838" s="13"/>
      <c r="G838" s="13"/>
    </row>
    <row r="839" spans="3:7" ht="15.75" customHeight="1" x14ac:dyDescent="0.25">
      <c r="C839" s="60"/>
      <c r="D839" s="13"/>
      <c r="E839" s="13"/>
      <c r="F839" s="13"/>
      <c r="G839" s="13"/>
    </row>
    <row r="840" spans="3:7" ht="15.75" customHeight="1" x14ac:dyDescent="0.25">
      <c r="C840" s="60"/>
      <c r="D840" s="13"/>
      <c r="E840" s="13"/>
      <c r="F840" s="13"/>
      <c r="G840" s="13"/>
    </row>
    <row r="841" spans="3:7" ht="15.75" customHeight="1" x14ac:dyDescent="0.25">
      <c r="C841" s="60"/>
      <c r="D841" s="13"/>
      <c r="E841" s="13"/>
      <c r="F841" s="13"/>
      <c r="G841" s="13"/>
    </row>
    <row r="842" spans="3:7" ht="15.75" customHeight="1" x14ac:dyDescent="0.25">
      <c r="C842" s="60"/>
      <c r="D842" s="13"/>
      <c r="E842" s="13"/>
      <c r="F842" s="13"/>
      <c r="G842" s="13"/>
    </row>
    <row r="843" spans="3:7" ht="15.75" customHeight="1" x14ac:dyDescent="0.25">
      <c r="C843" s="60"/>
      <c r="D843" s="13"/>
      <c r="E843" s="13"/>
      <c r="F843" s="13"/>
      <c r="G843" s="13"/>
    </row>
    <row r="844" spans="3:7" ht="15.75" customHeight="1" x14ac:dyDescent="0.25">
      <c r="C844" s="60"/>
      <c r="D844" s="13"/>
      <c r="E844" s="13"/>
      <c r="F844" s="13"/>
      <c r="G844" s="13"/>
    </row>
    <row r="845" spans="3:7" ht="15.75" customHeight="1" x14ac:dyDescent="0.25">
      <c r="C845" s="60"/>
      <c r="D845" s="13"/>
      <c r="E845" s="13"/>
      <c r="F845" s="13"/>
      <c r="G845" s="13"/>
    </row>
    <row r="846" spans="3:7" ht="15.75" customHeight="1" x14ac:dyDescent="0.25">
      <c r="C846" s="60"/>
      <c r="D846" s="13"/>
      <c r="E846" s="13"/>
      <c r="F846" s="13"/>
      <c r="G846" s="13"/>
    </row>
    <row r="847" spans="3:7" ht="15.75" customHeight="1" x14ac:dyDescent="0.25">
      <c r="C847" s="60"/>
      <c r="D847" s="13"/>
      <c r="E847" s="13"/>
      <c r="F847" s="13"/>
      <c r="G847" s="13"/>
    </row>
    <row r="848" spans="3:7" ht="15.75" customHeight="1" x14ac:dyDescent="0.25">
      <c r="C848" s="60"/>
      <c r="D848" s="13"/>
      <c r="E848" s="13"/>
      <c r="F848" s="13"/>
      <c r="G848" s="13"/>
    </row>
    <row r="849" spans="3:7" ht="15.75" customHeight="1" x14ac:dyDescent="0.25">
      <c r="C849" s="60"/>
      <c r="D849" s="13"/>
      <c r="E849" s="13"/>
      <c r="F849" s="13"/>
      <c r="G849" s="13"/>
    </row>
    <row r="850" spans="3:7" ht="15.75" customHeight="1" x14ac:dyDescent="0.25">
      <c r="C850" s="60"/>
      <c r="D850" s="13"/>
      <c r="E850" s="13"/>
      <c r="F850" s="13"/>
      <c r="G850" s="13"/>
    </row>
    <row r="851" spans="3:7" ht="15.75" customHeight="1" x14ac:dyDescent="0.25">
      <c r="C851" s="60"/>
      <c r="D851" s="13"/>
      <c r="E851" s="13"/>
      <c r="F851" s="13"/>
      <c r="G851" s="13"/>
    </row>
    <row r="852" spans="3:7" ht="15.75" customHeight="1" x14ac:dyDescent="0.25">
      <c r="C852" s="60"/>
      <c r="D852" s="13"/>
      <c r="E852" s="13"/>
      <c r="F852" s="13"/>
      <c r="G852" s="13"/>
    </row>
    <row r="853" spans="3:7" ht="15.75" customHeight="1" x14ac:dyDescent="0.25">
      <c r="G853" s="13"/>
    </row>
    <row r="854" spans="3:7" ht="15.75" customHeight="1" x14ac:dyDescent="0.25">
      <c r="G854" s="13"/>
    </row>
    <row r="855" spans="3:7" ht="15.75" customHeight="1" x14ac:dyDescent="0.25">
      <c r="G855" s="13"/>
    </row>
    <row r="856" spans="3:7" ht="15.75" customHeight="1" x14ac:dyDescent="0.25">
      <c r="G856" s="13"/>
    </row>
    <row r="857" spans="3:7" ht="15.75" customHeight="1" x14ac:dyDescent="0.25">
      <c r="G857" s="13"/>
    </row>
    <row r="858" spans="3:7" ht="15.75" customHeight="1" x14ac:dyDescent="0.25">
      <c r="G858" s="13"/>
    </row>
    <row r="859" spans="3:7" ht="15.75" customHeight="1" x14ac:dyDescent="0.25">
      <c r="G859" s="13"/>
    </row>
    <row r="860" spans="3:7" ht="15.75" customHeight="1" x14ac:dyDescent="0.25">
      <c r="G860" s="13"/>
    </row>
    <row r="861" spans="3:7" ht="15.75" customHeight="1" x14ac:dyDescent="0.25">
      <c r="G861" s="13"/>
    </row>
    <row r="862" spans="3:7" ht="15.75" customHeight="1" x14ac:dyDescent="0.25">
      <c r="G862" s="13"/>
    </row>
    <row r="863" spans="3:7" ht="15.75" customHeight="1" x14ac:dyDescent="0.25">
      <c r="G863" s="13"/>
    </row>
    <row r="864" spans="3:7" ht="15.75" customHeight="1" x14ac:dyDescent="0.25">
      <c r="G864" s="13"/>
    </row>
    <row r="865" spans="7:7" ht="15.75" customHeight="1" x14ac:dyDescent="0.25">
      <c r="G865" s="13"/>
    </row>
    <row r="866" spans="7:7" ht="15.75" customHeight="1" x14ac:dyDescent="0.25">
      <c r="G866" s="13"/>
    </row>
    <row r="867" spans="7:7" ht="15.75" customHeight="1" x14ac:dyDescent="0.25">
      <c r="G867" s="13"/>
    </row>
    <row r="868" spans="7:7" ht="15.75" customHeight="1" x14ac:dyDescent="0.25">
      <c r="G868" s="13"/>
    </row>
    <row r="869" spans="7:7" ht="15.75" customHeight="1" x14ac:dyDescent="0.25">
      <c r="G869" s="13"/>
    </row>
  </sheetData>
  <mergeCells count="1">
    <mergeCell ref="A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3043-64EE-43CA-BD89-4FDC37FB07E7}">
  <dimension ref="A3:C187"/>
  <sheetViews>
    <sheetView workbookViewId="0">
      <selection activeCell="B9" sqref="B9"/>
    </sheetView>
  </sheetViews>
  <sheetFormatPr baseColWidth="10" defaultRowHeight="15" x14ac:dyDescent="0.25"/>
  <cols>
    <col min="1" max="1" width="21" bestFit="1" customWidth="1"/>
    <col min="2" max="2" width="18.7109375" bestFit="1" customWidth="1"/>
    <col min="3" max="4" width="23.85546875" bestFit="1" customWidth="1"/>
    <col min="5" max="5" width="10.140625" bestFit="1" customWidth="1"/>
    <col min="6" max="6" width="23.7109375" bestFit="1" customWidth="1"/>
    <col min="7" max="7" width="28.85546875" bestFit="1" customWidth="1"/>
  </cols>
  <sheetData>
    <row r="3" spans="1:3" x14ac:dyDescent="0.25">
      <c r="A3" s="50" t="s">
        <v>35</v>
      </c>
      <c r="B3" t="s">
        <v>36</v>
      </c>
      <c r="C3" t="s">
        <v>37</v>
      </c>
    </row>
    <row r="4" spans="1:3" x14ac:dyDescent="0.25">
      <c r="A4" s="51">
        <v>1</v>
      </c>
      <c r="B4" s="57">
        <v>434.82</v>
      </c>
      <c r="C4" s="56">
        <v>52.940000000000005</v>
      </c>
    </row>
    <row r="5" spans="1:3" x14ac:dyDescent="0.25">
      <c r="A5" s="52" t="s">
        <v>8</v>
      </c>
      <c r="B5" s="57">
        <v>201.41</v>
      </c>
      <c r="C5" s="56">
        <v>21.66</v>
      </c>
    </row>
    <row r="6" spans="1:3" x14ac:dyDescent="0.25">
      <c r="A6" s="52" t="s">
        <v>9</v>
      </c>
      <c r="B6" s="57">
        <v>233.41</v>
      </c>
      <c r="C6" s="56">
        <v>31.280000000000005</v>
      </c>
    </row>
    <row r="7" spans="1:3" x14ac:dyDescent="0.25">
      <c r="A7" s="51">
        <v>2</v>
      </c>
      <c r="B7" s="57">
        <v>871.63</v>
      </c>
      <c r="C7" s="56">
        <v>90.740000000000009</v>
      </c>
    </row>
    <row r="8" spans="1:3" x14ac:dyDescent="0.25">
      <c r="A8" s="52" t="s">
        <v>8</v>
      </c>
      <c r="B8" s="57">
        <v>142.66</v>
      </c>
      <c r="C8" s="56">
        <v>14.100000000000001</v>
      </c>
    </row>
    <row r="9" spans="1:3" x14ac:dyDescent="0.25">
      <c r="A9" s="52" t="s">
        <v>9</v>
      </c>
      <c r="B9" s="57">
        <v>728.97</v>
      </c>
      <c r="C9" s="56">
        <v>76.64</v>
      </c>
    </row>
    <row r="10" spans="1:3" x14ac:dyDescent="0.25">
      <c r="A10" s="51">
        <v>3</v>
      </c>
      <c r="B10" s="57">
        <v>635.75</v>
      </c>
      <c r="C10" s="56">
        <v>68.38</v>
      </c>
    </row>
    <row r="11" spans="1:3" x14ac:dyDescent="0.25">
      <c r="A11" s="52" t="s">
        <v>8</v>
      </c>
      <c r="B11" s="57">
        <v>360.62</v>
      </c>
      <c r="C11" s="56">
        <v>36.61</v>
      </c>
    </row>
    <row r="12" spans="1:3" x14ac:dyDescent="0.25">
      <c r="A12" s="52" t="s">
        <v>9</v>
      </c>
      <c r="B12" s="57">
        <v>275.13</v>
      </c>
      <c r="C12" s="56">
        <v>31.770000000000003</v>
      </c>
    </row>
    <row r="13" spans="1:3" x14ac:dyDescent="0.25">
      <c r="A13" s="51">
        <v>4</v>
      </c>
      <c r="B13" s="57">
        <v>411.65999999999997</v>
      </c>
      <c r="C13" s="56">
        <v>47.69</v>
      </c>
    </row>
    <row r="14" spans="1:3" x14ac:dyDescent="0.25">
      <c r="A14" s="52" t="s">
        <v>8</v>
      </c>
      <c r="B14" s="57">
        <v>138.84</v>
      </c>
      <c r="C14" s="56">
        <v>14.54</v>
      </c>
    </row>
    <row r="15" spans="1:3" x14ac:dyDescent="0.25">
      <c r="A15" s="52" t="s">
        <v>9</v>
      </c>
      <c r="B15" s="57">
        <v>272.82</v>
      </c>
      <c r="C15" s="56">
        <v>33.15</v>
      </c>
    </row>
    <row r="16" spans="1:3" x14ac:dyDescent="0.25">
      <c r="A16" s="51">
        <v>5</v>
      </c>
      <c r="B16" s="57">
        <v>743.66</v>
      </c>
      <c r="C16" s="56">
        <v>82.240000000000009</v>
      </c>
    </row>
    <row r="17" spans="1:3" x14ac:dyDescent="0.25">
      <c r="A17" s="52" t="s">
        <v>8</v>
      </c>
      <c r="B17" s="57">
        <v>163.13999999999999</v>
      </c>
      <c r="C17" s="56">
        <v>20.93</v>
      </c>
    </row>
    <row r="18" spans="1:3" x14ac:dyDescent="0.25">
      <c r="A18" s="52" t="s">
        <v>9</v>
      </c>
      <c r="B18" s="57">
        <v>580.52</v>
      </c>
      <c r="C18" s="56">
        <v>61.31</v>
      </c>
    </row>
    <row r="19" spans="1:3" x14ac:dyDescent="0.25">
      <c r="A19" s="51">
        <v>6</v>
      </c>
      <c r="B19" s="57">
        <v>586.7700000000001</v>
      </c>
      <c r="C19" s="56">
        <v>62.31</v>
      </c>
    </row>
    <row r="20" spans="1:3" x14ac:dyDescent="0.25">
      <c r="A20" s="52" t="s">
        <v>8</v>
      </c>
      <c r="B20" s="57">
        <v>338.63000000000005</v>
      </c>
      <c r="C20" s="56">
        <v>41.35</v>
      </c>
    </row>
    <row r="21" spans="1:3" x14ac:dyDescent="0.25">
      <c r="A21" s="52" t="s">
        <v>9</v>
      </c>
      <c r="B21" s="57">
        <v>248.14000000000001</v>
      </c>
      <c r="C21" s="56">
        <v>20.96</v>
      </c>
    </row>
    <row r="22" spans="1:3" x14ac:dyDescent="0.25">
      <c r="A22" s="51">
        <v>7</v>
      </c>
      <c r="B22" s="57">
        <v>857.26</v>
      </c>
      <c r="C22" s="56">
        <v>106.76</v>
      </c>
    </row>
    <row r="23" spans="1:3" x14ac:dyDescent="0.25">
      <c r="A23" s="52" t="s">
        <v>8</v>
      </c>
      <c r="B23" s="57">
        <v>536.27</v>
      </c>
      <c r="C23" s="56">
        <v>58.250000000000007</v>
      </c>
    </row>
    <row r="24" spans="1:3" x14ac:dyDescent="0.25">
      <c r="A24" s="52" t="s">
        <v>9</v>
      </c>
      <c r="B24" s="57">
        <v>320.99</v>
      </c>
      <c r="C24" s="56">
        <v>48.51</v>
      </c>
    </row>
    <row r="25" spans="1:3" x14ac:dyDescent="0.25">
      <c r="A25" s="51">
        <v>8</v>
      </c>
      <c r="B25" s="57">
        <v>509.91000000000008</v>
      </c>
      <c r="C25" s="56">
        <v>62.519999999999996</v>
      </c>
    </row>
    <row r="26" spans="1:3" x14ac:dyDescent="0.25">
      <c r="A26" s="52" t="s">
        <v>8</v>
      </c>
      <c r="B26" s="57">
        <v>136.15</v>
      </c>
      <c r="C26" s="56">
        <v>14.030000000000001</v>
      </c>
    </row>
    <row r="27" spans="1:3" x14ac:dyDescent="0.25">
      <c r="A27" s="52" t="s">
        <v>9</v>
      </c>
      <c r="B27" s="57">
        <v>373.76000000000005</v>
      </c>
      <c r="C27" s="56">
        <v>48.489999999999995</v>
      </c>
    </row>
    <row r="28" spans="1:3" x14ac:dyDescent="0.25">
      <c r="A28" s="51">
        <v>9</v>
      </c>
      <c r="B28" s="57">
        <v>882.23</v>
      </c>
      <c r="C28" s="56">
        <v>94.81</v>
      </c>
    </row>
    <row r="29" spans="1:3" x14ac:dyDescent="0.25">
      <c r="A29" s="52" t="s">
        <v>8</v>
      </c>
      <c r="B29" s="57">
        <v>273.39000000000004</v>
      </c>
      <c r="C29" s="56">
        <v>31.9</v>
      </c>
    </row>
    <row r="30" spans="1:3" x14ac:dyDescent="0.25">
      <c r="A30" s="52" t="s">
        <v>9</v>
      </c>
      <c r="B30" s="57">
        <v>608.83999999999992</v>
      </c>
      <c r="C30" s="56">
        <v>62.910000000000004</v>
      </c>
    </row>
    <row r="31" spans="1:3" x14ac:dyDescent="0.25">
      <c r="A31" s="51">
        <v>10</v>
      </c>
      <c r="B31" s="57">
        <v>747.67</v>
      </c>
      <c r="C31" s="56">
        <v>107.16</v>
      </c>
    </row>
    <row r="32" spans="1:3" x14ac:dyDescent="0.25">
      <c r="A32" s="52" t="s">
        <v>8</v>
      </c>
      <c r="B32" s="57">
        <v>223.78</v>
      </c>
      <c r="C32" s="56">
        <v>35.869999999999997</v>
      </c>
    </row>
    <row r="33" spans="1:3" x14ac:dyDescent="0.25">
      <c r="A33" s="52" t="s">
        <v>9</v>
      </c>
      <c r="B33" s="57">
        <v>523.89</v>
      </c>
      <c r="C33" s="56">
        <v>71.290000000000006</v>
      </c>
    </row>
    <row r="34" spans="1:3" x14ac:dyDescent="0.25">
      <c r="A34" s="51">
        <v>11</v>
      </c>
      <c r="B34" s="57">
        <v>250.60000000000002</v>
      </c>
      <c r="C34" s="56">
        <v>30.119999999999997</v>
      </c>
    </row>
    <row r="35" spans="1:3" x14ac:dyDescent="0.25">
      <c r="A35" s="52" t="s">
        <v>8</v>
      </c>
      <c r="B35" s="57">
        <v>150.74</v>
      </c>
      <c r="C35" s="56">
        <v>18.43</v>
      </c>
    </row>
    <row r="36" spans="1:3" x14ac:dyDescent="0.25">
      <c r="A36" s="52" t="s">
        <v>9</v>
      </c>
      <c r="B36" s="57">
        <v>99.86</v>
      </c>
      <c r="C36" s="56">
        <v>11.69</v>
      </c>
    </row>
    <row r="37" spans="1:3" x14ac:dyDescent="0.25">
      <c r="A37" s="51">
        <v>12</v>
      </c>
      <c r="B37" s="57">
        <v>443.68</v>
      </c>
      <c r="C37" s="56">
        <v>44.599999999999994</v>
      </c>
    </row>
    <row r="38" spans="1:3" x14ac:dyDescent="0.25">
      <c r="A38" s="52" t="s">
        <v>8</v>
      </c>
      <c r="B38" s="57">
        <v>182.85000000000002</v>
      </c>
      <c r="C38" s="56">
        <v>22.029999999999998</v>
      </c>
    </row>
    <row r="39" spans="1:3" x14ac:dyDescent="0.25">
      <c r="A39" s="52" t="s">
        <v>9</v>
      </c>
      <c r="B39" s="57">
        <v>260.83</v>
      </c>
      <c r="C39" s="56">
        <v>22.569999999999997</v>
      </c>
    </row>
    <row r="40" spans="1:3" x14ac:dyDescent="0.25">
      <c r="A40" s="51">
        <v>13</v>
      </c>
      <c r="B40" s="57">
        <v>596.4</v>
      </c>
      <c r="C40" s="56">
        <v>67.429999999999993</v>
      </c>
    </row>
    <row r="41" spans="1:3" x14ac:dyDescent="0.25">
      <c r="A41" s="52" t="s">
        <v>8</v>
      </c>
      <c r="B41" s="57">
        <v>284.57</v>
      </c>
      <c r="C41" s="56">
        <v>25.59</v>
      </c>
    </row>
    <row r="42" spans="1:3" x14ac:dyDescent="0.25">
      <c r="A42" s="52" t="s">
        <v>9</v>
      </c>
      <c r="B42" s="57">
        <v>311.83</v>
      </c>
      <c r="C42" s="56">
        <v>41.839999999999996</v>
      </c>
    </row>
    <row r="43" spans="1:3" x14ac:dyDescent="0.25">
      <c r="A43" s="51">
        <v>14</v>
      </c>
      <c r="B43" s="57">
        <v>885.93</v>
      </c>
      <c r="C43" s="56">
        <v>94.280000000000015</v>
      </c>
    </row>
    <row r="44" spans="1:3" x14ac:dyDescent="0.25">
      <c r="A44" s="52" t="s">
        <v>8</v>
      </c>
      <c r="B44" s="57">
        <v>273.77999999999997</v>
      </c>
      <c r="C44" s="56">
        <v>26.560000000000002</v>
      </c>
    </row>
    <row r="45" spans="1:3" x14ac:dyDescent="0.25">
      <c r="A45" s="52" t="s">
        <v>9</v>
      </c>
      <c r="B45" s="57">
        <v>612.15</v>
      </c>
      <c r="C45" s="56">
        <v>67.720000000000013</v>
      </c>
    </row>
    <row r="46" spans="1:3" x14ac:dyDescent="0.25">
      <c r="A46" s="51">
        <v>15</v>
      </c>
      <c r="B46" s="57">
        <v>1063</v>
      </c>
      <c r="C46" s="56">
        <v>121.85</v>
      </c>
    </row>
    <row r="47" spans="1:3" x14ac:dyDescent="0.25">
      <c r="A47" s="52" t="s">
        <v>8</v>
      </c>
      <c r="B47" s="57">
        <v>190.66</v>
      </c>
      <c r="C47" s="56">
        <v>23.71</v>
      </c>
    </row>
    <row r="48" spans="1:3" x14ac:dyDescent="0.25">
      <c r="A48" s="52" t="s">
        <v>9</v>
      </c>
      <c r="B48" s="57">
        <v>872.34</v>
      </c>
      <c r="C48" s="56">
        <v>98.14</v>
      </c>
    </row>
    <row r="49" spans="1:3" x14ac:dyDescent="0.25">
      <c r="A49" s="51">
        <v>16</v>
      </c>
      <c r="B49" s="57">
        <v>967.04</v>
      </c>
      <c r="C49" s="56">
        <v>107.56</v>
      </c>
    </row>
    <row r="50" spans="1:3" x14ac:dyDescent="0.25">
      <c r="A50" s="52" t="s">
        <v>8</v>
      </c>
      <c r="B50" s="57">
        <v>378.16</v>
      </c>
      <c r="C50" s="56">
        <v>42.56</v>
      </c>
    </row>
    <row r="51" spans="1:3" x14ac:dyDescent="0.25">
      <c r="A51" s="52" t="s">
        <v>9</v>
      </c>
      <c r="B51" s="57">
        <v>588.88</v>
      </c>
      <c r="C51" s="56">
        <v>65</v>
      </c>
    </row>
    <row r="52" spans="1:3" x14ac:dyDescent="0.25">
      <c r="A52" s="51">
        <v>17</v>
      </c>
      <c r="B52" s="57">
        <v>908.8599999999999</v>
      </c>
      <c r="C52" s="56">
        <v>120.50999999999999</v>
      </c>
    </row>
    <row r="53" spans="1:3" x14ac:dyDescent="0.25">
      <c r="A53" s="52" t="s">
        <v>8</v>
      </c>
      <c r="B53" s="57">
        <v>125.60999999999999</v>
      </c>
      <c r="C53" s="56">
        <v>20.46</v>
      </c>
    </row>
    <row r="54" spans="1:3" x14ac:dyDescent="0.25">
      <c r="A54" s="52" t="s">
        <v>9</v>
      </c>
      <c r="B54" s="57">
        <v>783.24999999999989</v>
      </c>
      <c r="C54" s="56">
        <v>100.05</v>
      </c>
    </row>
    <row r="55" spans="1:3" x14ac:dyDescent="0.25">
      <c r="A55" s="51">
        <v>18</v>
      </c>
      <c r="B55" s="57">
        <v>1014.25</v>
      </c>
      <c r="C55" s="56">
        <v>105.22</v>
      </c>
    </row>
    <row r="56" spans="1:3" x14ac:dyDescent="0.25">
      <c r="A56" s="52" t="s">
        <v>8</v>
      </c>
      <c r="B56" s="57">
        <v>531.19000000000005</v>
      </c>
      <c r="C56" s="56">
        <v>59.239999999999995</v>
      </c>
    </row>
    <row r="57" spans="1:3" x14ac:dyDescent="0.25">
      <c r="A57" s="52" t="s">
        <v>9</v>
      </c>
      <c r="B57" s="57">
        <v>483.06</v>
      </c>
      <c r="C57" s="56">
        <v>45.980000000000004</v>
      </c>
    </row>
    <row r="58" spans="1:3" x14ac:dyDescent="0.25">
      <c r="A58" s="51">
        <v>19</v>
      </c>
      <c r="B58" s="57">
        <v>701.03000000000009</v>
      </c>
      <c r="C58" s="56">
        <v>90.809999999999974</v>
      </c>
    </row>
    <row r="59" spans="1:3" x14ac:dyDescent="0.25">
      <c r="A59" s="52" t="s">
        <v>8</v>
      </c>
      <c r="B59" s="57">
        <v>169.84</v>
      </c>
      <c r="C59" s="56">
        <v>19.259999999999998</v>
      </c>
    </row>
    <row r="60" spans="1:3" x14ac:dyDescent="0.25">
      <c r="A60" s="52" t="s">
        <v>9</v>
      </c>
      <c r="B60" s="57">
        <v>531.19000000000005</v>
      </c>
      <c r="C60" s="56">
        <v>71.549999999999983</v>
      </c>
    </row>
    <row r="61" spans="1:3" x14ac:dyDescent="0.25">
      <c r="A61" s="51">
        <v>20</v>
      </c>
      <c r="B61" s="57">
        <v>1147.9499999999998</v>
      </c>
      <c r="C61" s="56">
        <v>124.75</v>
      </c>
    </row>
    <row r="62" spans="1:3" x14ac:dyDescent="0.25">
      <c r="A62" s="52" t="s">
        <v>8</v>
      </c>
      <c r="B62" s="57">
        <v>368.79999999999995</v>
      </c>
      <c r="C62" s="56">
        <v>44.350000000000009</v>
      </c>
    </row>
    <row r="63" spans="1:3" x14ac:dyDescent="0.25">
      <c r="A63" s="52" t="s">
        <v>9</v>
      </c>
      <c r="B63" s="57">
        <v>779.14999999999986</v>
      </c>
      <c r="C63" s="56">
        <v>80.399999999999991</v>
      </c>
    </row>
    <row r="64" spans="1:3" x14ac:dyDescent="0.25">
      <c r="A64" s="51">
        <v>21</v>
      </c>
      <c r="B64" s="57">
        <v>573.63</v>
      </c>
      <c r="C64" s="56">
        <v>72.509999999999991</v>
      </c>
    </row>
    <row r="65" spans="1:3" x14ac:dyDescent="0.25">
      <c r="A65" s="52" t="s">
        <v>9</v>
      </c>
      <c r="B65" s="57">
        <v>573.63</v>
      </c>
      <c r="C65" s="56">
        <v>72.509999999999991</v>
      </c>
    </row>
    <row r="66" spans="1:3" x14ac:dyDescent="0.25">
      <c r="A66" s="51">
        <v>22</v>
      </c>
      <c r="B66" s="57">
        <v>1034.7</v>
      </c>
      <c r="C66" s="56">
        <v>121.81</v>
      </c>
    </row>
    <row r="67" spans="1:3" x14ac:dyDescent="0.25">
      <c r="A67" s="52" t="s">
        <v>8</v>
      </c>
      <c r="B67" s="57">
        <v>291.37</v>
      </c>
      <c r="C67" s="56">
        <v>32.82</v>
      </c>
    </row>
    <row r="68" spans="1:3" x14ac:dyDescent="0.25">
      <c r="A68" s="52" t="s">
        <v>9</v>
      </c>
      <c r="B68" s="57">
        <v>743.33</v>
      </c>
      <c r="C68" s="56">
        <v>88.990000000000009</v>
      </c>
    </row>
    <row r="69" spans="1:3" x14ac:dyDescent="0.25">
      <c r="A69" s="51">
        <v>23</v>
      </c>
      <c r="B69" s="57">
        <v>834.14</v>
      </c>
      <c r="C69" s="56">
        <v>103.25</v>
      </c>
    </row>
    <row r="70" spans="1:3" x14ac:dyDescent="0.25">
      <c r="A70" s="52" t="s">
        <v>8</v>
      </c>
      <c r="B70" s="57">
        <v>418.84000000000003</v>
      </c>
      <c r="C70" s="56">
        <v>46.12</v>
      </c>
    </row>
    <row r="71" spans="1:3" x14ac:dyDescent="0.25">
      <c r="A71" s="52" t="s">
        <v>9</v>
      </c>
      <c r="B71" s="57">
        <v>415.29999999999995</v>
      </c>
      <c r="C71" s="56">
        <v>57.129999999999995</v>
      </c>
    </row>
    <row r="72" spans="1:3" x14ac:dyDescent="0.25">
      <c r="A72" s="51">
        <v>24</v>
      </c>
      <c r="B72" s="57">
        <v>1510.3300000000002</v>
      </c>
      <c r="C72" s="56">
        <v>162.80000000000001</v>
      </c>
    </row>
    <row r="73" spans="1:3" x14ac:dyDescent="0.25">
      <c r="A73" s="52" t="s">
        <v>8</v>
      </c>
      <c r="B73" s="57">
        <v>631.71</v>
      </c>
      <c r="C73" s="56">
        <v>67.260000000000005</v>
      </c>
    </row>
    <row r="74" spans="1:3" x14ac:dyDescent="0.25">
      <c r="A74" s="52" t="s">
        <v>9</v>
      </c>
      <c r="B74" s="57">
        <v>878.62000000000012</v>
      </c>
      <c r="C74" s="56">
        <v>95.54</v>
      </c>
    </row>
    <row r="75" spans="1:3" x14ac:dyDescent="0.25">
      <c r="A75" s="51">
        <v>25</v>
      </c>
      <c r="B75" s="57">
        <v>1397.15</v>
      </c>
      <c r="C75" s="56">
        <v>154.09</v>
      </c>
    </row>
    <row r="76" spans="1:3" x14ac:dyDescent="0.25">
      <c r="A76" s="52" t="s">
        <v>8</v>
      </c>
      <c r="B76" s="57">
        <v>368.73999999999995</v>
      </c>
      <c r="C76" s="56">
        <v>41.97</v>
      </c>
    </row>
    <row r="77" spans="1:3" x14ac:dyDescent="0.25">
      <c r="A77" s="52" t="s">
        <v>9</v>
      </c>
      <c r="B77" s="57">
        <v>1028.4100000000001</v>
      </c>
      <c r="C77" s="56">
        <v>112.12</v>
      </c>
    </row>
    <row r="78" spans="1:3" x14ac:dyDescent="0.25">
      <c r="A78" s="51">
        <v>26</v>
      </c>
      <c r="B78" s="57">
        <v>1338.7499999999998</v>
      </c>
      <c r="C78" s="56">
        <v>148.55000000000001</v>
      </c>
    </row>
    <row r="79" spans="1:3" x14ac:dyDescent="0.25">
      <c r="A79" s="52" t="s">
        <v>8</v>
      </c>
      <c r="B79" s="57">
        <v>619.50999999999988</v>
      </c>
      <c r="C79" s="56">
        <v>67.819999999999993</v>
      </c>
    </row>
    <row r="80" spans="1:3" x14ac:dyDescent="0.25">
      <c r="A80" s="52" t="s">
        <v>9</v>
      </c>
      <c r="B80" s="57">
        <v>719.2399999999999</v>
      </c>
      <c r="C80" s="56">
        <v>80.73</v>
      </c>
    </row>
    <row r="81" spans="1:3" x14ac:dyDescent="0.25">
      <c r="A81" s="51">
        <v>27</v>
      </c>
      <c r="B81" s="57">
        <v>935.53000000000009</v>
      </c>
      <c r="C81" s="56">
        <v>116.55000000000001</v>
      </c>
    </row>
    <row r="82" spans="1:3" x14ac:dyDescent="0.25">
      <c r="A82" s="52" t="s">
        <v>8</v>
      </c>
      <c r="B82" s="57">
        <v>364.6</v>
      </c>
      <c r="C82" s="56">
        <v>46.71</v>
      </c>
    </row>
    <row r="83" spans="1:3" x14ac:dyDescent="0.25">
      <c r="A83" s="52" t="s">
        <v>9</v>
      </c>
      <c r="B83" s="57">
        <v>570.93000000000006</v>
      </c>
      <c r="C83" s="56">
        <v>69.84</v>
      </c>
    </row>
    <row r="84" spans="1:3" x14ac:dyDescent="0.25">
      <c r="A84" s="51">
        <v>28</v>
      </c>
      <c r="B84" s="57">
        <v>1025.3399999999999</v>
      </c>
      <c r="C84" s="56">
        <v>126.30999999999999</v>
      </c>
    </row>
    <row r="85" spans="1:3" x14ac:dyDescent="0.25">
      <c r="A85" s="52" t="s">
        <v>8</v>
      </c>
      <c r="B85" s="57">
        <v>544.31999999999994</v>
      </c>
      <c r="C85" s="56">
        <v>64.559999999999988</v>
      </c>
    </row>
    <row r="86" spans="1:3" x14ac:dyDescent="0.25">
      <c r="A86" s="52" t="s">
        <v>9</v>
      </c>
      <c r="B86" s="57">
        <v>481.02</v>
      </c>
      <c r="C86" s="56">
        <v>61.75</v>
      </c>
    </row>
    <row r="87" spans="1:3" x14ac:dyDescent="0.25">
      <c r="A87" s="51">
        <v>29</v>
      </c>
      <c r="B87" s="57">
        <v>798.34</v>
      </c>
      <c r="C87" s="56">
        <v>102.76</v>
      </c>
    </row>
    <row r="88" spans="1:3" x14ac:dyDescent="0.25">
      <c r="A88" s="52" t="s">
        <v>8</v>
      </c>
      <c r="B88" s="57">
        <v>256.72000000000003</v>
      </c>
      <c r="C88" s="56">
        <v>34.42</v>
      </c>
    </row>
    <row r="89" spans="1:3" x14ac:dyDescent="0.25">
      <c r="A89" s="52" t="s">
        <v>9</v>
      </c>
      <c r="B89" s="57">
        <v>541.62</v>
      </c>
      <c r="C89" s="56">
        <v>68.34</v>
      </c>
    </row>
    <row r="90" spans="1:3" x14ac:dyDescent="0.25">
      <c r="A90" s="51">
        <v>30</v>
      </c>
      <c r="B90" s="57">
        <v>1000.72</v>
      </c>
      <c r="C90" s="56">
        <v>131.67999999999998</v>
      </c>
    </row>
    <row r="91" spans="1:3" x14ac:dyDescent="0.25">
      <c r="A91" s="52" t="s">
        <v>8</v>
      </c>
      <c r="B91" s="57">
        <v>481.39</v>
      </c>
      <c r="C91" s="56">
        <v>53.8</v>
      </c>
    </row>
    <row r="92" spans="1:3" x14ac:dyDescent="0.25">
      <c r="A92" s="52" t="s">
        <v>9</v>
      </c>
      <c r="B92" s="57">
        <v>519.33000000000004</v>
      </c>
      <c r="C92" s="56">
        <v>77.879999999999981</v>
      </c>
    </row>
    <row r="93" spans="1:3" x14ac:dyDescent="0.25">
      <c r="A93" s="51">
        <v>31</v>
      </c>
      <c r="B93" s="57">
        <v>1115.21</v>
      </c>
      <c r="C93" s="56">
        <v>140.24</v>
      </c>
    </row>
    <row r="94" spans="1:3" x14ac:dyDescent="0.25">
      <c r="A94" s="52" t="s">
        <v>8</v>
      </c>
      <c r="B94" s="57">
        <v>589.95999999999992</v>
      </c>
      <c r="C94" s="56">
        <v>74.929999999999993</v>
      </c>
    </row>
    <row r="95" spans="1:3" x14ac:dyDescent="0.25">
      <c r="A95" s="52" t="s">
        <v>9</v>
      </c>
      <c r="B95" s="57">
        <v>525.25</v>
      </c>
      <c r="C95" s="56">
        <v>65.31</v>
      </c>
    </row>
    <row r="96" spans="1:3" x14ac:dyDescent="0.25">
      <c r="A96" s="51">
        <v>32</v>
      </c>
      <c r="B96" s="57">
        <v>742.91</v>
      </c>
      <c r="C96" s="56">
        <v>81.430000000000007</v>
      </c>
    </row>
    <row r="97" spans="1:3" x14ac:dyDescent="0.25">
      <c r="A97" s="52" t="s">
        <v>9</v>
      </c>
      <c r="B97" s="57">
        <v>742.91</v>
      </c>
      <c r="C97" s="56">
        <v>81.430000000000007</v>
      </c>
    </row>
    <row r="98" spans="1:3" x14ac:dyDescent="0.25">
      <c r="A98" s="51">
        <v>33</v>
      </c>
      <c r="B98" s="57">
        <v>550.4</v>
      </c>
      <c r="C98" s="56">
        <v>69.680000000000007</v>
      </c>
    </row>
    <row r="99" spans="1:3" x14ac:dyDescent="0.25">
      <c r="A99" s="52" t="s">
        <v>8</v>
      </c>
      <c r="B99" s="57">
        <v>246.23</v>
      </c>
      <c r="C99" s="56">
        <v>32.25</v>
      </c>
    </row>
    <row r="100" spans="1:3" x14ac:dyDescent="0.25">
      <c r="A100" s="52" t="s">
        <v>9</v>
      </c>
      <c r="B100" s="57">
        <v>304.17</v>
      </c>
      <c r="C100" s="56">
        <v>37.43</v>
      </c>
    </row>
    <row r="101" spans="1:3" x14ac:dyDescent="0.25">
      <c r="A101" s="51">
        <v>34</v>
      </c>
      <c r="B101" s="57">
        <v>763.02</v>
      </c>
      <c r="C101" s="56">
        <v>92.139999999999986</v>
      </c>
    </row>
    <row r="102" spans="1:3" x14ac:dyDescent="0.25">
      <c r="A102" s="52" t="s">
        <v>8</v>
      </c>
      <c r="B102" s="57">
        <v>463.87</v>
      </c>
      <c r="C102" s="56">
        <v>51.01</v>
      </c>
    </row>
    <row r="103" spans="1:3" x14ac:dyDescent="0.25">
      <c r="A103" s="52" t="s">
        <v>9</v>
      </c>
      <c r="B103" s="57">
        <v>299.14999999999998</v>
      </c>
      <c r="C103" s="56">
        <v>41.129999999999995</v>
      </c>
    </row>
    <row r="104" spans="1:3" x14ac:dyDescent="0.25">
      <c r="A104" s="51">
        <v>35</v>
      </c>
      <c r="B104" s="57">
        <v>1122</v>
      </c>
      <c r="C104" s="56">
        <v>121.23</v>
      </c>
    </row>
    <row r="105" spans="1:3" x14ac:dyDescent="0.25">
      <c r="A105" s="52" t="s">
        <v>8</v>
      </c>
      <c r="B105" s="57">
        <v>482.34000000000003</v>
      </c>
      <c r="C105" s="56">
        <v>48.7</v>
      </c>
    </row>
    <row r="106" spans="1:3" x14ac:dyDescent="0.25">
      <c r="A106" s="52" t="s">
        <v>9</v>
      </c>
      <c r="B106" s="57">
        <v>639.66000000000008</v>
      </c>
      <c r="C106" s="56">
        <v>72.53</v>
      </c>
    </row>
    <row r="107" spans="1:3" x14ac:dyDescent="0.25">
      <c r="A107" s="51">
        <v>36</v>
      </c>
      <c r="B107" s="57">
        <v>1234.8499999999999</v>
      </c>
      <c r="C107" s="56">
        <v>142.02000000000001</v>
      </c>
    </row>
    <row r="108" spans="1:3" x14ac:dyDescent="0.25">
      <c r="A108" s="52" t="s">
        <v>8</v>
      </c>
      <c r="B108" s="57">
        <v>505.64</v>
      </c>
      <c r="C108" s="56">
        <v>59.04</v>
      </c>
    </row>
    <row r="109" spans="1:3" x14ac:dyDescent="0.25">
      <c r="A109" s="52" t="s">
        <v>9</v>
      </c>
      <c r="B109" s="57">
        <v>729.21</v>
      </c>
      <c r="C109" s="56">
        <v>82.98</v>
      </c>
    </row>
    <row r="110" spans="1:3" x14ac:dyDescent="0.25">
      <c r="A110" s="51">
        <v>37</v>
      </c>
      <c r="B110" s="57">
        <v>451.57000000000005</v>
      </c>
      <c r="C110" s="56">
        <v>52.879999999999995</v>
      </c>
    </row>
    <row r="111" spans="1:3" x14ac:dyDescent="0.25">
      <c r="A111" s="52" t="s">
        <v>8</v>
      </c>
      <c r="B111" s="57">
        <v>112.71000000000001</v>
      </c>
      <c r="C111" s="56">
        <v>17.399999999999999</v>
      </c>
    </row>
    <row r="112" spans="1:3" x14ac:dyDescent="0.25">
      <c r="A112" s="52" t="s">
        <v>9</v>
      </c>
      <c r="B112" s="57">
        <v>338.86</v>
      </c>
      <c r="C112" s="56">
        <v>35.479999999999997</v>
      </c>
    </row>
    <row r="113" spans="1:3" x14ac:dyDescent="0.25">
      <c r="A113" s="51">
        <v>38</v>
      </c>
      <c r="B113" s="57">
        <v>1095.01</v>
      </c>
      <c r="C113" s="56">
        <v>130.09000000000003</v>
      </c>
    </row>
    <row r="114" spans="1:3" x14ac:dyDescent="0.25">
      <c r="A114" s="52" t="s">
        <v>8</v>
      </c>
      <c r="B114" s="57">
        <v>568.76</v>
      </c>
      <c r="C114" s="56">
        <v>65.830000000000013</v>
      </c>
    </row>
    <row r="115" spans="1:3" x14ac:dyDescent="0.25">
      <c r="A115" s="52" t="s">
        <v>9</v>
      </c>
      <c r="B115" s="57">
        <v>526.25</v>
      </c>
      <c r="C115" s="56">
        <v>64.260000000000005</v>
      </c>
    </row>
    <row r="116" spans="1:3" x14ac:dyDescent="0.25">
      <c r="A116" s="51">
        <v>39</v>
      </c>
      <c r="B116" s="57">
        <v>542.93000000000006</v>
      </c>
      <c r="C116" s="56">
        <v>60.449999999999996</v>
      </c>
    </row>
    <row r="117" spans="1:3" x14ac:dyDescent="0.25">
      <c r="A117" s="52" t="s">
        <v>8</v>
      </c>
      <c r="B117" s="57">
        <v>231.14</v>
      </c>
      <c r="C117" s="56">
        <v>27.799999999999997</v>
      </c>
    </row>
    <row r="118" spans="1:3" x14ac:dyDescent="0.25">
      <c r="A118" s="52" t="s">
        <v>9</v>
      </c>
      <c r="B118" s="57">
        <v>311.79000000000002</v>
      </c>
      <c r="C118" s="56">
        <v>32.65</v>
      </c>
    </row>
    <row r="119" spans="1:3" x14ac:dyDescent="0.25">
      <c r="A119" s="51">
        <v>40</v>
      </c>
      <c r="B119" s="57">
        <v>522.04999999999995</v>
      </c>
      <c r="C119" s="56">
        <v>66.78</v>
      </c>
    </row>
    <row r="120" spans="1:3" x14ac:dyDescent="0.25">
      <c r="A120" s="52" t="s">
        <v>8</v>
      </c>
      <c r="B120" s="57">
        <v>88.13</v>
      </c>
      <c r="C120" s="56">
        <v>11.4</v>
      </c>
    </row>
    <row r="121" spans="1:3" x14ac:dyDescent="0.25">
      <c r="A121" s="52" t="s">
        <v>9</v>
      </c>
      <c r="B121" s="57">
        <v>433.92</v>
      </c>
      <c r="C121" s="56">
        <v>55.379999999999995</v>
      </c>
    </row>
    <row r="122" spans="1:3" x14ac:dyDescent="0.25">
      <c r="A122" s="51">
        <v>41</v>
      </c>
      <c r="B122" s="57">
        <v>784.98</v>
      </c>
      <c r="C122" s="56">
        <v>96.47</v>
      </c>
    </row>
    <row r="123" spans="1:3" x14ac:dyDescent="0.25">
      <c r="A123" s="52" t="s">
        <v>8</v>
      </c>
      <c r="B123" s="57">
        <v>237.23000000000002</v>
      </c>
      <c r="C123" s="56">
        <v>30.1</v>
      </c>
    </row>
    <row r="124" spans="1:3" x14ac:dyDescent="0.25">
      <c r="A124" s="52" t="s">
        <v>9</v>
      </c>
      <c r="B124" s="57">
        <v>547.75</v>
      </c>
      <c r="C124" s="56">
        <v>66.37</v>
      </c>
    </row>
    <row r="125" spans="1:3" x14ac:dyDescent="0.25">
      <c r="A125" s="51">
        <v>42</v>
      </c>
      <c r="B125" s="57">
        <v>622.52</v>
      </c>
      <c r="C125" s="56">
        <v>68.289999999999992</v>
      </c>
    </row>
    <row r="126" spans="1:3" x14ac:dyDescent="0.25">
      <c r="A126" s="52" t="s">
        <v>8</v>
      </c>
      <c r="B126" s="57">
        <v>211.31</v>
      </c>
      <c r="C126" s="56">
        <v>22.259999999999998</v>
      </c>
    </row>
    <row r="127" spans="1:3" x14ac:dyDescent="0.25">
      <c r="A127" s="52" t="s">
        <v>9</v>
      </c>
      <c r="B127" s="57">
        <v>411.21000000000004</v>
      </c>
      <c r="C127" s="56">
        <v>46.029999999999994</v>
      </c>
    </row>
    <row r="128" spans="1:3" x14ac:dyDescent="0.25">
      <c r="A128" s="51">
        <v>43</v>
      </c>
      <c r="B128" s="57">
        <v>489.47</v>
      </c>
      <c r="C128" s="56">
        <v>68.81</v>
      </c>
    </row>
    <row r="129" spans="1:3" x14ac:dyDescent="0.25">
      <c r="A129" s="52" t="s">
        <v>8</v>
      </c>
      <c r="B129" s="57">
        <v>259.49</v>
      </c>
      <c r="C129" s="56">
        <v>33.549999999999997</v>
      </c>
    </row>
    <row r="130" spans="1:3" x14ac:dyDescent="0.25">
      <c r="A130" s="52" t="s">
        <v>9</v>
      </c>
      <c r="B130" s="57">
        <v>229.98</v>
      </c>
      <c r="C130" s="56">
        <v>35.260000000000005</v>
      </c>
    </row>
    <row r="131" spans="1:3" x14ac:dyDescent="0.25">
      <c r="A131" s="51">
        <v>44</v>
      </c>
      <c r="B131" s="57">
        <v>467.15</v>
      </c>
      <c r="C131" s="56">
        <v>44.46</v>
      </c>
    </row>
    <row r="132" spans="1:3" x14ac:dyDescent="0.25">
      <c r="A132" s="52" t="s">
        <v>8</v>
      </c>
      <c r="B132" s="57">
        <v>173.57</v>
      </c>
      <c r="C132" s="56">
        <v>16.400000000000002</v>
      </c>
    </row>
    <row r="133" spans="1:3" x14ac:dyDescent="0.25">
      <c r="A133" s="52" t="s">
        <v>9</v>
      </c>
      <c r="B133" s="57">
        <v>293.58</v>
      </c>
      <c r="C133" s="56">
        <v>28.06</v>
      </c>
    </row>
    <row r="134" spans="1:3" x14ac:dyDescent="0.25">
      <c r="A134" s="51">
        <v>45</v>
      </c>
      <c r="B134" s="57">
        <v>250.87</v>
      </c>
      <c r="C134" s="56">
        <v>31.16</v>
      </c>
    </row>
    <row r="135" spans="1:3" x14ac:dyDescent="0.25">
      <c r="A135" s="52" t="s">
        <v>8</v>
      </c>
      <c r="B135" s="57">
        <v>118.16</v>
      </c>
      <c r="C135" s="56">
        <v>13.3</v>
      </c>
    </row>
    <row r="136" spans="1:3" x14ac:dyDescent="0.25">
      <c r="A136" s="52" t="s">
        <v>9</v>
      </c>
      <c r="B136" s="57">
        <v>132.71</v>
      </c>
      <c r="C136" s="56">
        <v>17.86</v>
      </c>
    </row>
    <row r="137" spans="1:3" x14ac:dyDescent="0.25">
      <c r="A137" s="51">
        <v>46</v>
      </c>
      <c r="B137" s="57">
        <v>528.68000000000006</v>
      </c>
      <c r="C137" s="56">
        <v>62.03</v>
      </c>
    </row>
    <row r="138" spans="1:3" x14ac:dyDescent="0.25">
      <c r="A138" s="52" t="s">
        <v>8</v>
      </c>
      <c r="B138" s="57">
        <v>142.07999999999998</v>
      </c>
      <c r="C138" s="56">
        <v>17.149999999999999</v>
      </c>
    </row>
    <row r="139" spans="1:3" x14ac:dyDescent="0.25">
      <c r="A139" s="52" t="s">
        <v>9</v>
      </c>
      <c r="B139" s="57">
        <v>386.6</v>
      </c>
      <c r="C139" s="56">
        <v>44.88</v>
      </c>
    </row>
    <row r="140" spans="1:3" x14ac:dyDescent="0.25">
      <c r="A140" s="51">
        <v>47</v>
      </c>
      <c r="B140" s="57">
        <v>379.71999999999997</v>
      </c>
      <c r="C140" s="56">
        <v>41.52</v>
      </c>
    </row>
    <row r="141" spans="1:3" x14ac:dyDescent="0.25">
      <c r="A141" s="52" t="s">
        <v>8</v>
      </c>
      <c r="B141" s="57">
        <v>284.71999999999997</v>
      </c>
      <c r="C141" s="56">
        <v>33.42</v>
      </c>
    </row>
    <row r="142" spans="1:3" x14ac:dyDescent="0.25">
      <c r="A142" s="52" t="s">
        <v>9</v>
      </c>
      <c r="B142" s="57">
        <v>95</v>
      </c>
      <c r="C142" s="56">
        <v>8.1</v>
      </c>
    </row>
    <row r="143" spans="1:3" x14ac:dyDescent="0.25">
      <c r="A143" s="51">
        <v>48</v>
      </c>
      <c r="B143" s="57">
        <v>494.98999999999995</v>
      </c>
      <c r="C143" s="56">
        <v>54.690000000000005</v>
      </c>
    </row>
    <row r="144" spans="1:3" x14ac:dyDescent="0.25">
      <c r="A144" s="52" t="s">
        <v>8</v>
      </c>
      <c r="B144" s="57">
        <v>142.58999999999997</v>
      </c>
      <c r="C144" s="56">
        <v>15.67</v>
      </c>
    </row>
    <row r="145" spans="1:3" x14ac:dyDescent="0.25">
      <c r="A145" s="52" t="s">
        <v>9</v>
      </c>
      <c r="B145" s="57">
        <v>352.4</v>
      </c>
      <c r="C145" s="56">
        <v>39.020000000000003</v>
      </c>
    </row>
    <row r="146" spans="1:3" x14ac:dyDescent="0.25">
      <c r="A146" s="51">
        <v>49</v>
      </c>
      <c r="B146" s="57">
        <v>266.63</v>
      </c>
      <c r="C146" s="56">
        <v>30.43</v>
      </c>
    </row>
    <row r="147" spans="1:3" x14ac:dyDescent="0.25">
      <c r="A147" s="52" t="s">
        <v>8</v>
      </c>
      <c r="B147" s="57">
        <v>59.39</v>
      </c>
      <c r="C147" s="56">
        <v>6.76</v>
      </c>
    </row>
    <row r="148" spans="1:3" x14ac:dyDescent="0.25">
      <c r="A148" s="52" t="s">
        <v>9</v>
      </c>
      <c r="B148" s="57">
        <v>207.24</v>
      </c>
      <c r="C148" s="56">
        <v>23.67</v>
      </c>
    </row>
    <row r="149" spans="1:3" x14ac:dyDescent="0.25">
      <c r="A149" s="51">
        <v>50</v>
      </c>
      <c r="B149" s="57">
        <v>254.43999999999997</v>
      </c>
      <c r="C149" s="56">
        <v>27.09</v>
      </c>
    </row>
    <row r="150" spans="1:3" x14ac:dyDescent="0.25">
      <c r="A150" s="52" t="s">
        <v>9</v>
      </c>
      <c r="B150" s="57">
        <v>254.43999999999997</v>
      </c>
      <c r="C150" s="56">
        <v>27.09</v>
      </c>
    </row>
    <row r="151" spans="1:3" x14ac:dyDescent="0.25">
      <c r="A151" s="51">
        <v>51</v>
      </c>
      <c r="B151" s="57">
        <v>511.70000000000005</v>
      </c>
      <c r="C151" s="56">
        <v>58.27</v>
      </c>
    </row>
    <row r="152" spans="1:3" x14ac:dyDescent="0.25">
      <c r="A152" s="52" t="s">
        <v>8</v>
      </c>
      <c r="B152" s="57">
        <v>119.58000000000001</v>
      </c>
      <c r="C152" s="56">
        <v>12.11</v>
      </c>
    </row>
    <row r="153" spans="1:3" x14ac:dyDescent="0.25">
      <c r="A153" s="52" t="s">
        <v>9</v>
      </c>
      <c r="B153" s="57">
        <v>392.12</v>
      </c>
      <c r="C153" s="56">
        <v>46.160000000000004</v>
      </c>
    </row>
    <row r="154" spans="1:3" x14ac:dyDescent="0.25">
      <c r="A154" s="51">
        <v>52</v>
      </c>
      <c r="B154" s="57">
        <v>168.38</v>
      </c>
      <c r="C154" s="56">
        <v>19.920000000000002</v>
      </c>
    </row>
    <row r="155" spans="1:3" x14ac:dyDescent="0.25">
      <c r="A155" s="52" t="s">
        <v>8</v>
      </c>
      <c r="B155" s="57">
        <v>55.46</v>
      </c>
      <c r="C155" s="56">
        <v>6.17</v>
      </c>
    </row>
    <row r="156" spans="1:3" x14ac:dyDescent="0.25">
      <c r="A156" s="52" t="s">
        <v>9</v>
      </c>
      <c r="B156" s="57">
        <v>112.91999999999999</v>
      </c>
      <c r="C156" s="56">
        <v>13.75</v>
      </c>
    </row>
    <row r="157" spans="1:3" x14ac:dyDescent="0.25">
      <c r="A157" s="51">
        <v>53</v>
      </c>
      <c r="B157" s="57">
        <v>170.57</v>
      </c>
      <c r="C157" s="56">
        <v>16.770000000000003</v>
      </c>
    </row>
    <row r="158" spans="1:3" x14ac:dyDescent="0.25">
      <c r="A158" s="52" t="s">
        <v>8</v>
      </c>
      <c r="B158" s="57">
        <v>70.61</v>
      </c>
      <c r="C158" s="56">
        <v>8.7200000000000006</v>
      </c>
    </row>
    <row r="159" spans="1:3" x14ac:dyDescent="0.25">
      <c r="A159" s="52" t="s">
        <v>9</v>
      </c>
      <c r="B159" s="57">
        <v>99.96</v>
      </c>
      <c r="C159" s="56">
        <v>8.0500000000000007</v>
      </c>
    </row>
    <row r="160" spans="1:3" x14ac:dyDescent="0.25">
      <c r="A160" s="51">
        <v>54</v>
      </c>
      <c r="B160" s="57">
        <v>152.97999999999999</v>
      </c>
      <c r="C160" s="56">
        <v>21.52</v>
      </c>
    </row>
    <row r="161" spans="1:3" x14ac:dyDescent="0.25">
      <c r="A161" s="52" t="s">
        <v>8</v>
      </c>
      <c r="B161" s="57">
        <v>85.91</v>
      </c>
      <c r="C161" s="56">
        <v>11.9</v>
      </c>
    </row>
    <row r="162" spans="1:3" x14ac:dyDescent="0.25">
      <c r="A162" s="52" t="s">
        <v>9</v>
      </c>
      <c r="B162" s="57">
        <v>67.069999999999993</v>
      </c>
      <c r="C162" s="56">
        <v>9.6199999999999992</v>
      </c>
    </row>
    <row r="163" spans="1:3" x14ac:dyDescent="0.25">
      <c r="A163" s="51">
        <v>55</v>
      </c>
      <c r="B163" s="57">
        <v>72.78</v>
      </c>
      <c r="C163" s="56">
        <v>8.69</v>
      </c>
    </row>
    <row r="164" spans="1:3" x14ac:dyDescent="0.25">
      <c r="A164" s="52" t="s">
        <v>9</v>
      </c>
      <c r="B164" s="57">
        <v>72.78</v>
      </c>
      <c r="C164" s="56">
        <v>8.69</v>
      </c>
    </row>
    <row r="165" spans="1:3" x14ac:dyDescent="0.25">
      <c r="A165" s="51">
        <v>56</v>
      </c>
      <c r="B165" s="57">
        <v>67.02</v>
      </c>
      <c r="C165" s="56">
        <v>6.51</v>
      </c>
    </row>
    <row r="166" spans="1:3" x14ac:dyDescent="0.25">
      <c r="A166" s="52" t="s">
        <v>9</v>
      </c>
      <c r="B166" s="57">
        <v>67.02</v>
      </c>
      <c r="C166" s="56">
        <v>6.51</v>
      </c>
    </row>
    <row r="167" spans="1:3" x14ac:dyDescent="0.25">
      <c r="A167" s="51">
        <v>57</v>
      </c>
      <c r="B167" s="57">
        <v>196.31</v>
      </c>
      <c r="C167" s="56">
        <v>27.51</v>
      </c>
    </row>
    <row r="168" spans="1:3" x14ac:dyDescent="0.25">
      <c r="A168" s="52" t="s">
        <v>9</v>
      </c>
      <c r="B168" s="57">
        <v>196.31</v>
      </c>
      <c r="C168" s="56">
        <v>27.51</v>
      </c>
    </row>
    <row r="169" spans="1:3" x14ac:dyDescent="0.25">
      <c r="A169" s="51">
        <v>58</v>
      </c>
      <c r="B169" s="57">
        <v>53.2</v>
      </c>
      <c r="C169" s="56">
        <v>5.36</v>
      </c>
    </row>
    <row r="170" spans="1:3" x14ac:dyDescent="0.25">
      <c r="A170" s="52" t="s">
        <v>8</v>
      </c>
      <c r="B170" s="57">
        <v>53.2</v>
      </c>
      <c r="C170" s="56">
        <v>5.36</v>
      </c>
    </row>
    <row r="171" spans="1:3" x14ac:dyDescent="0.25">
      <c r="A171" s="51">
        <v>59</v>
      </c>
      <c r="B171" s="57">
        <v>42.33</v>
      </c>
      <c r="C171" s="56">
        <v>8.5399999999999991</v>
      </c>
    </row>
    <row r="172" spans="1:3" x14ac:dyDescent="0.25">
      <c r="A172" s="52" t="s">
        <v>8</v>
      </c>
      <c r="B172" s="57">
        <v>42.33</v>
      </c>
      <c r="C172" s="56">
        <v>8.5399999999999991</v>
      </c>
    </row>
    <row r="173" spans="1:3" x14ac:dyDescent="0.25">
      <c r="A173" s="51">
        <v>60</v>
      </c>
      <c r="B173" s="57">
        <v>46.24</v>
      </c>
      <c r="C173" s="56">
        <v>4.6900000000000004</v>
      </c>
    </row>
    <row r="174" spans="1:3" x14ac:dyDescent="0.25">
      <c r="A174" s="52" t="s">
        <v>8</v>
      </c>
      <c r="B174" s="57">
        <v>46.24</v>
      </c>
      <c r="C174" s="56">
        <v>4.6900000000000004</v>
      </c>
    </row>
    <row r="175" spans="1:3" x14ac:dyDescent="0.25">
      <c r="A175" s="51">
        <v>62</v>
      </c>
      <c r="B175" s="57">
        <v>77.400000000000006</v>
      </c>
      <c r="C175" s="56">
        <v>9.91</v>
      </c>
    </row>
    <row r="176" spans="1:3" x14ac:dyDescent="0.25">
      <c r="A176" s="52" t="s">
        <v>8</v>
      </c>
      <c r="B176" s="57">
        <v>77.400000000000006</v>
      </c>
      <c r="C176" s="56">
        <v>9.91</v>
      </c>
    </row>
    <row r="177" spans="1:3" x14ac:dyDescent="0.25">
      <c r="A177" s="51">
        <v>63</v>
      </c>
      <c r="B177" s="57">
        <v>39.17</v>
      </c>
      <c r="C177" s="56">
        <v>8.5500000000000007</v>
      </c>
    </row>
    <row r="178" spans="1:3" x14ac:dyDescent="0.25">
      <c r="A178" s="52" t="s">
        <v>8</v>
      </c>
      <c r="B178" s="57">
        <v>39.17</v>
      </c>
      <c r="C178" s="56">
        <v>8.5500000000000007</v>
      </c>
    </row>
    <row r="179" spans="1:3" x14ac:dyDescent="0.25">
      <c r="A179" s="51">
        <v>64</v>
      </c>
      <c r="B179" s="57">
        <v>89.18</v>
      </c>
      <c r="C179" s="56">
        <v>8.08</v>
      </c>
    </row>
    <row r="180" spans="1:3" x14ac:dyDescent="0.25">
      <c r="A180" s="52" t="s">
        <v>9</v>
      </c>
      <c r="B180" s="57">
        <v>89.18</v>
      </c>
      <c r="C180" s="56">
        <v>8.08</v>
      </c>
    </row>
    <row r="181" spans="1:3" x14ac:dyDescent="0.25">
      <c r="A181" s="51">
        <v>67</v>
      </c>
      <c r="B181" s="57">
        <v>108.39</v>
      </c>
      <c r="C181" s="56">
        <v>9.51</v>
      </c>
    </row>
    <row r="182" spans="1:3" x14ac:dyDescent="0.25">
      <c r="A182" s="52" t="s">
        <v>8</v>
      </c>
      <c r="B182" s="57">
        <v>108.39</v>
      </c>
      <c r="C182" s="56">
        <v>9.51</v>
      </c>
    </row>
    <row r="183" spans="1:3" x14ac:dyDescent="0.25">
      <c r="A183" s="51">
        <v>68</v>
      </c>
      <c r="B183" s="57">
        <v>23.31</v>
      </c>
      <c r="C183" s="56">
        <v>4.37</v>
      </c>
    </row>
    <row r="184" spans="1:3" x14ac:dyDescent="0.25">
      <c r="A184" s="52" t="s">
        <v>9</v>
      </c>
      <c r="B184" s="57">
        <v>23.31</v>
      </c>
      <c r="C184" s="56">
        <v>4.37</v>
      </c>
    </row>
    <row r="185" spans="1:3" x14ac:dyDescent="0.25">
      <c r="A185" s="51">
        <v>74</v>
      </c>
      <c r="B185" s="57">
        <v>55.63</v>
      </c>
      <c r="C185" s="56">
        <v>6.65</v>
      </c>
    </row>
    <row r="186" spans="1:3" x14ac:dyDescent="0.25">
      <c r="A186" s="52" t="s">
        <v>9</v>
      </c>
      <c r="B186" s="57">
        <v>55.63</v>
      </c>
      <c r="C186" s="56">
        <v>6.65</v>
      </c>
    </row>
    <row r="187" spans="1:3" x14ac:dyDescent="0.25">
      <c r="A187" s="51" t="s">
        <v>34</v>
      </c>
      <c r="B187" s="57">
        <v>39662.719999999979</v>
      </c>
      <c r="C187" s="56">
        <v>4629.7300000000014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E029-8814-4EB0-93BE-ED9A86A7B687}">
  <dimension ref="A3:D14"/>
  <sheetViews>
    <sheetView workbookViewId="0">
      <selection activeCell="G19" sqref="G19"/>
    </sheetView>
  </sheetViews>
  <sheetFormatPr baseColWidth="10" defaultRowHeight="15" x14ac:dyDescent="0.25"/>
  <cols>
    <col min="1" max="1" width="21" bestFit="1" customWidth="1"/>
    <col min="2" max="2" width="22.7109375" bestFit="1" customWidth="1"/>
    <col min="3" max="3" width="20.140625" bestFit="1" customWidth="1"/>
    <col min="4" max="4" width="24" bestFit="1" customWidth="1"/>
    <col min="5" max="11" width="10.85546875" bestFit="1" customWidth="1"/>
    <col min="12" max="12" width="14" bestFit="1" customWidth="1"/>
    <col min="13" max="13" width="15.140625" bestFit="1" customWidth="1"/>
    <col min="14" max="14" width="11.28515625" bestFit="1" customWidth="1"/>
    <col min="15" max="15" width="15.140625" bestFit="1" customWidth="1"/>
    <col min="16" max="16" width="11.28515625" bestFit="1" customWidth="1"/>
    <col min="17" max="17" width="15.140625" bestFit="1" customWidth="1"/>
    <col min="18" max="18" width="11.28515625" bestFit="1" customWidth="1"/>
    <col min="19" max="19" width="15.140625" bestFit="1" customWidth="1"/>
    <col min="20" max="20" width="11.28515625" bestFit="1" customWidth="1"/>
    <col min="21" max="21" width="15.140625" bestFit="1" customWidth="1"/>
    <col min="22" max="22" width="14" bestFit="1" customWidth="1"/>
    <col min="23" max="23" width="15.140625" bestFit="1" customWidth="1"/>
    <col min="24" max="24" width="7.85546875" bestFit="1" customWidth="1"/>
    <col min="25" max="25" width="11.28515625" bestFit="1" customWidth="1"/>
    <col min="26" max="26" width="15.140625" bestFit="1" customWidth="1"/>
    <col min="27" max="27" width="7.85546875" bestFit="1" customWidth="1"/>
    <col min="28" max="28" width="11.28515625" bestFit="1" customWidth="1"/>
    <col min="29" max="29" width="15.140625" bestFit="1" customWidth="1"/>
    <col min="30" max="30" width="7.85546875" bestFit="1" customWidth="1"/>
    <col min="31" max="31" width="12.5703125" bestFit="1" customWidth="1"/>
  </cols>
  <sheetData>
    <row r="3" spans="1:4" x14ac:dyDescent="0.25">
      <c r="A3" s="50" t="s">
        <v>35</v>
      </c>
      <c r="B3" t="s">
        <v>45</v>
      </c>
      <c r="C3" t="s">
        <v>44</v>
      </c>
      <c r="D3" t="s">
        <v>43</v>
      </c>
    </row>
    <row r="4" spans="1:4" x14ac:dyDescent="0.25">
      <c r="A4" s="51">
        <v>24</v>
      </c>
      <c r="B4" s="57">
        <v>1510.3300000000002</v>
      </c>
      <c r="C4" s="57">
        <v>878.62000000000012</v>
      </c>
      <c r="D4" s="57">
        <v>631.71</v>
      </c>
    </row>
    <row r="5" spans="1:4" x14ac:dyDescent="0.25">
      <c r="A5" s="51">
        <v>25</v>
      </c>
      <c r="B5" s="57">
        <v>1397.15</v>
      </c>
      <c r="C5" s="57">
        <v>1028.4100000000001</v>
      </c>
      <c r="D5" s="57">
        <v>368.73999999999995</v>
      </c>
    </row>
    <row r="6" spans="1:4" x14ac:dyDescent="0.25">
      <c r="A6" s="51">
        <v>26</v>
      </c>
      <c r="B6" s="57">
        <v>1338.7499999999998</v>
      </c>
      <c r="C6" s="57">
        <v>719.2399999999999</v>
      </c>
      <c r="D6" s="57">
        <v>619.50999999999988</v>
      </c>
    </row>
    <row r="7" spans="1:4" x14ac:dyDescent="0.25">
      <c r="A7" s="51">
        <v>36</v>
      </c>
      <c r="B7" s="57">
        <v>1234.8499999999999</v>
      </c>
      <c r="C7" s="57">
        <v>729.21</v>
      </c>
      <c r="D7" s="57">
        <v>505.64</v>
      </c>
    </row>
    <row r="8" spans="1:4" x14ac:dyDescent="0.25">
      <c r="A8" s="51">
        <v>20</v>
      </c>
      <c r="B8" s="57">
        <v>1147.9499999999998</v>
      </c>
      <c r="C8" s="57">
        <v>779.14999999999986</v>
      </c>
      <c r="D8" s="57">
        <v>368.79999999999995</v>
      </c>
    </row>
    <row r="9" spans="1:4" x14ac:dyDescent="0.25">
      <c r="A9" s="51">
        <v>35</v>
      </c>
      <c r="B9" s="57">
        <v>1122</v>
      </c>
      <c r="C9" s="57">
        <v>639.66000000000008</v>
      </c>
      <c r="D9" s="57">
        <v>482.34000000000003</v>
      </c>
    </row>
    <row r="10" spans="1:4" x14ac:dyDescent="0.25">
      <c r="A10" s="51">
        <v>31</v>
      </c>
      <c r="B10" s="57">
        <v>1115.21</v>
      </c>
      <c r="C10" s="57">
        <v>525.25</v>
      </c>
      <c r="D10" s="57">
        <v>589.95999999999992</v>
      </c>
    </row>
    <row r="11" spans="1:4" x14ac:dyDescent="0.25">
      <c r="A11" s="51">
        <v>38</v>
      </c>
      <c r="B11" s="57">
        <v>1095.01</v>
      </c>
      <c r="C11" s="57">
        <v>526.25</v>
      </c>
      <c r="D11" s="57">
        <v>568.76</v>
      </c>
    </row>
    <row r="12" spans="1:4" x14ac:dyDescent="0.25">
      <c r="A12" s="51">
        <v>15</v>
      </c>
      <c r="B12" s="57">
        <v>1063</v>
      </c>
      <c r="C12" s="57">
        <v>872.34</v>
      </c>
      <c r="D12" s="57">
        <v>190.66</v>
      </c>
    </row>
    <row r="13" spans="1:4" x14ac:dyDescent="0.25">
      <c r="A13" s="51">
        <v>22</v>
      </c>
      <c r="B13" s="57">
        <v>1034.7</v>
      </c>
      <c r="C13" s="57">
        <v>743.33</v>
      </c>
      <c r="D13" s="57">
        <v>291.37</v>
      </c>
    </row>
    <row r="14" spans="1:4" x14ac:dyDescent="0.25">
      <c r="A14" s="51" t="s">
        <v>34</v>
      </c>
      <c r="B14" s="57">
        <v>12058.95</v>
      </c>
      <c r="C14" s="57">
        <v>7441.4599999999991</v>
      </c>
      <c r="D14" s="57">
        <v>4617.49</v>
      </c>
    </row>
  </sheetData>
  <sortState xmlns:xlrd2="http://schemas.microsoft.com/office/spreadsheetml/2017/richdata2" ref="A3:D14">
    <sortCondition descending="1" ref="B3"/>
  </sortState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C9A6ED-56C1-44BF-AFA8-150C8EB15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DATA Février (clients affiliés)</vt:lpstr>
      <vt:lpstr>Tableau Client x Catégorie</vt:lpstr>
      <vt:lpstr>Feuil20</vt:lpstr>
      <vt:lpstr>Feuil23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2025-10-19T21:17:34Z</dcterms:created>
  <dcterms:modified xsi:type="dcterms:W3CDTF">2025-10-31T14:52:02Z</dcterms:modified>
</cp:coreProperties>
</file>